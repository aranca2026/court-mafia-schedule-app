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ancaglobal-my.sharepoint.com/personal/yash_joglekar_aranca_com/Documents/Desktop/Personal/Court Mafia/Season 2/"/>
    </mc:Choice>
  </mc:AlternateContent>
  <xr:revisionPtr revIDLastSave="2311" documentId="13_ncr:1_{C2582E4B-3FB2-427F-B6F7-C40624925BD6}" xr6:coauthVersionLast="47" xr6:coauthVersionMax="47" xr10:uidLastSave="{BD10C2E3-4FA2-49EE-9211-6BC9E9AACF44}"/>
  <bookViews>
    <workbookView xWindow="-110" yWindow="-110" windowWidth="19420" windowHeight="11500" firstSheet="1" activeTab="1" xr2:uid="{00000000-000D-0000-FFFF-FFFF00000000}"/>
  </bookViews>
  <sheets>
    <sheet name="Working" sheetId="5" r:id="rId1"/>
    <sheet name="Registrations" sheetId="7" r:id="rId2"/>
    <sheet name="Groups" sheetId="10" r:id="rId3"/>
    <sheet name="Input" sheetId="9" r:id="rId4"/>
    <sheet name="Schedule" sheetId="8" r:id="rId5"/>
    <sheet name="PnL" sheetId="1" state="hidden" r:id="rId6"/>
    <sheet name="Scorecard" sheetId="12" r:id="rId7"/>
    <sheet name="Player Comm Tracker" sheetId="6" r:id="rId8"/>
  </sheets>
  <definedNames>
    <definedName name="_xlnm._FilterDatabase" localSheetId="1" hidden="1">'Registrations'!$A$3:$F$211</definedName>
    <definedName name="_xlnm._FilterDatabase" localSheetId="4" hidden="1">Schedule!$A$1:$H$427</definedName>
    <definedName name="_xlnm._FilterDatabase" localSheetId="6" hidden="1">Scorecard!$A$3:$J$3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8" l="1"/>
  <c r="K51" i="8"/>
  <c r="K65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P264" i="8"/>
  <c r="P263" i="8"/>
  <c r="P262" i="8"/>
  <c r="P261" i="8"/>
  <c r="P260" i="8"/>
  <c r="P259" i="8"/>
  <c r="P258" i="8"/>
  <c r="P257" i="8"/>
  <c r="P256" i="8"/>
  <c r="P255" i="8"/>
  <c r="P254" i="8"/>
  <c r="P253" i="8"/>
  <c r="P252" i="8"/>
  <c r="P251" i="8"/>
  <c r="P250" i="8"/>
  <c r="P249" i="8"/>
  <c r="P248" i="8"/>
  <c r="P247" i="8"/>
  <c r="P246" i="8"/>
  <c r="P245" i="8"/>
  <c r="P244" i="8"/>
  <c r="P243" i="8"/>
  <c r="P242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228" i="8"/>
  <c r="P227" i="8"/>
  <c r="P226" i="8"/>
  <c r="P225" i="8"/>
  <c r="P224" i="8"/>
  <c r="P223" i="8"/>
  <c r="P222" i="8"/>
  <c r="P221" i="8"/>
  <c r="P220" i="8"/>
  <c r="P219" i="8"/>
  <c r="P218" i="8"/>
  <c r="P217" i="8"/>
  <c r="P216" i="8"/>
  <c r="P215" i="8"/>
  <c r="P214" i="8"/>
  <c r="P213" i="8"/>
  <c r="P212" i="8"/>
  <c r="P211" i="8"/>
  <c r="P210" i="8"/>
  <c r="P209" i="8"/>
  <c r="P208" i="8"/>
  <c r="P207" i="8"/>
  <c r="P206" i="8"/>
  <c r="P205" i="8"/>
  <c r="P204" i="8"/>
  <c r="P203" i="8"/>
  <c r="P202" i="8"/>
  <c r="P201" i="8"/>
  <c r="P200" i="8"/>
  <c r="P199" i="8"/>
  <c r="P198" i="8"/>
  <c r="P197" i="8"/>
  <c r="P196" i="8"/>
  <c r="P195" i="8"/>
  <c r="P194" i="8"/>
  <c r="P193" i="8"/>
  <c r="P192" i="8"/>
  <c r="P191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427" i="8"/>
  <c r="P426" i="8"/>
  <c r="P425" i="8"/>
  <c r="P424" i="8"/>
  <c r="P423" i="8"/>
  <c r="P422" i="8"/>
  <c r="P421" i="8"/>
  <c r="P420" i="8"/>
  <c r="P419" i="8"/>
  <c r="P418" i="8"/>
  <c r="P417" i="8"/>
  <c r="P416" i="8"/>
  <c r="P415" i="8"/>
  <c r="P414" i="8"/>
  <c r="P413" i="8"/>
  <c r="P412" i="8"/>
  <c r="P411" i="8"/>
  <c r="P410" i="8"/>
  <c r="P409" i="8"/>
  <c r="P408" i="8"/>
  <c r="P407" i="8"/>
  <c r="P406" i="8"/>
  <c r="P405" i="8"/>
  <c r="P404" i="8"/>
  <c r="P403" i="8"/>
  <c r="P402" i="8"/>
  <c r="P401" i="8"/>
  <c r="P400" i="8"/>
  <c r="P399" i="8"/>
  <c r="P398" i="8"/>
  <c r="P397" i="8"/>
  <c r="P396" i="8"/>
  <c r="P395" i="8"/>
  <c r="P394" i="8"/>
  <c r="P393" i="8"/>
  <c r="P392" i="8"/>
  <c r="P391" i="8"/>
  <c r="P390" i="8"/>
  <c r="P389" i="8"/>
  <c r="P388" i="8"/>
  <c r="P387" i="8"/>
  <c r="P386" i="8"/>
  <c r="P385" i="8"/>
  <c r="P384" i="8"/>
  <c r="P383" i="8"/>
  <c r="P382" i="8"/>
  <c r="P381" i="8"/>
  <c r="P380" i="8"/>
  <c r="P379" i="8"/>
  <c r="P378" i="8"/>
  <c r="P377" i="8"/>
  <c r="P376" i="8"/>
  <c r="P375" i="8"/>
  <c r="P374" i="8"/>
  <c r="P373" i="8"/>
  <c r="P372" i="8"/>
  <c r="P371" i="8"/>
  <c r="P370" i="8"/>
  <c r="P369" i="8"/>
  <c r="P368" i="8"/>
  <c r="P367" i="8"/>
  <c r="P366" i="8"/>
  <c r="P365" i="8"/>
  <c r="P364" i="8"/>
  <c r="P363" i="8"/>
  <c r="P362" i="8"/>
  <c r="P361" i="8"/>
  <c r="P360" i="8"/>
  <c r="P359" i="8"/>
  <c r="P358" i="8"/>
  <c r="P357" i="8"/>
  <c r="P356" i="8"/>
  <c r="P355" i="8"/>
  <c r="P354" i="8"/>
  <c r="P353" i="8"/>
  <c r="P352" i="8"/>
  <c r="P351" i="8"/>
  <c r="P350" i="8"/>
  <c r="P349" i="8"/>
  <c r="P348" i="8"/>
  <c r="P347" i="8"/>
  <c r="P346" i="8"/>
  <c r="P345" i="8"/>
  <c r="P344" i="8"/>
  <c r="P343" i="8"/>
  <c r="P342" i="8"/>
  <c r="P341" i="8"/>
  <c r="P340" i="8"/>
  <c r="P339" i="8"/>
  <c r="P338" i="8"/>
  <c r="P337" i="8"/>
  <c r="P336" i="8"/>
  <c r="P335" i="8"/>
  <c r="P334" i="8"/>
  <c r="P333" i="8"/>
  <c r="P332" i="8"/>
  <c r="P331" i="8"/>
  <c r="P330" i="8"/>
  <c r="P329" i="8"/>
  <c r="P328" i="8"/>
  <c r="P327" i="8"/>
  <c r="P326" i="8"/>
  <c r="P325" i="8"/>
  <c r="P324" i="8"/>
  <c r="P323" i="8"/>
  <c r="P322" i="8"/>
  <c r="P321" i="8"/>
  <c r="P320" i="8"/>
  <c r="P319" i="8"/>
  <c r="P318" i="8"/>
  <c r="P317" i="8"/>
  <c r="P316" i="8"/>
  <c r="P315" i="8"/>
  <c r="P314" i="8"/>
  <c r="P313" i="8"/>
  <c r="P312" i="8"/>
  <c r="P311" i="8"/>
  <c r="P310" i="8"/>
  <c r="P309" i="8"/>
  <c r="P308" i="8"/>
  <c r="P307" i="8"/>
  <c r="P306" i="8"/>
  <c r="P305" i="8"/>
  <c r="P304" i="8"/>
  <c r="P303" i="8"/>
  <c r="P302" i="8"/>
  <c r="P301" i="8"/>
  <c r="P300" i="8"/>
  <c r="P299" i="8"/>
  <c r="P298" i="8"/>
  <c r="P297" i="8"/>
  <c r="P296" i="8"/>
  <c r="P295" i="8"/>
  <c r="P294" i="8"/>
  <c r="P293" i="8"/>
  <c r="P292" i="8"/>
  <c r="P291" i="8"/>
  <c r="P290" i="8"/>
  <c r="P289" i="8"/>
  <c r="P288" i="8"/>
  <c r="P287" i="8"/>
  <c r="P286" i="8"/>
  <c r="P285" i="8"/>
  <c r="P284" i="8"/>
  <c r="P283" i="8"/>
  <c r="P282" i="8"/>
  <c r="P281" i="8"/>
  <c r="P280" i="8"/>
  <c r="P279" i="8"/>
  <c r="P278" i="8"/>
  <c r="P277" i="8"/>
  <c r="P276" i="8"/>
  <c r="P275" i="8"/>
  <c r="P274" i="8"/>
  <c r="P273" i="8"/>
  <c r="P272" i="8"/>
  <c r="P271" i="8"/>
  <c r="P270" i="8"/>
  <c r="P269" i="8"/>
  <c r="P268" i="8"/>
  <c r="P267" i="8"/>
  <c r="P266" i="8"/>
  <c r="P51" i="8"/>
  <c r="P47" i="8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R427" i="8"/>
  <c r="R426" i="8"/>
  <c r="R425" i="8"/>
  <c r="R424" i="8"/>
  <c r="R423" i="8"/>
  <c r="R422" i="8"/>
  <c r="R421" i="8"/>
  <c r="R420" i="8"/>
  <c r="R419" i="8"/>
  <c r="R418" i="8"/>
  <c r="R417" i="8"/>
  <c r="R416" i="8"/>
  <c r="R415" i="8"/>
  <c r="R414" i="8"/>
  <c r="R413" i="8"/>
  <c r="R412" i="8"/>
  <c r="R411" i="8"/>
  <c r="R410" i="8"/>
  <c r="R409" i="8"/>
  <c r="R408" i="8"/>
  <c r="R407" i="8"/>
  <c r="R406" i="8"/>
  <c r="R405" i="8"/>
  <c r="R404" i="8"/>
  <c r="R403" i="8"/>
  <c r="R402" i="8"/>
  <c r="R401" i="8"/>
  <c r="R400" i="8"/>
  <c r="R399" i="8"/>
  <c r="R398" i="8"/>
  <c r="R397" i="8"/>
  <c r="R396" i="8"/>
  <c r="R395" i="8"/>
  <c r="R394" i="8"/>
  <c r="R393" i="8"/>
  <c r="R392" i="8"/>
  <c r="R391" i="8"/>
  <c r="R390" i="8"/>
  <c r="R389" i="8"/>
  <c r="R388" i="8"/>
  <c r="R387" i="8"/>
  <c r="R386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R370" i="8"/>
  <c r="R369" i="8"/>
  <c r="R368" i="8"/>
  <c r="R367" i="8"/>
  <c r="R366" i="8"/>
  <c r="R365" i="8"/>
  <c r="R364" i="8"/>
  <c r="R363" i="8"/>
  <c r="R362" i="8"/>
  <c r="R361" i="8"/>
  <c r="R360" i="8"/>
  <c r="R359" i="8"/>
  <c r="R358" i="8"/>
  <c r="R357" i="8"/>
  <c r="R356" i="8"/>
  <c r="R355" i="8"/>
  <c r="R354" i="8"/>
  <c r="R353" i="8"/>
  <c r="R352" i="8"/>
  <c r="R351" i="8"/>
  <c r="R350" i="8"/>
  <c r="R349" i="8"/>
  <c r="R348" i="8"/>
  <c r="R347" i="8"/>
  <c r="R346" i="8"/>
  <c r="R345" i="8"/>
  <c r="R344" i="8"/>
  <c r="R343" i="8"/>
  <c r="R342" i="8"/>
  <c r="R341" i="8"/>
  <c r="R340" i="8"/>
  <c r="R339" i="8"/>
  <c r="R338" i="8"/>
  <c r="R337" i="8"/>
  <c r="R336" i="8"/>
  <c r="R335" i="8"/>
  <c r="R334" i="8"/>
  <c r="R333" i="8"/>
  <c r="R332" i="8"/>
  <c r="R331" i="8"/>
  <c r="R330" i="8"/>
  <c r="R329" i="8"/>
  <c r="R328" i="8"/>
  <c r="R327" i="8"/>
  <c r="R326" i="8"/>
  <c r="R325" i="8"/>
  <c r="R324" i="8"/>
  <c r="R323" i="8"/>
  <c r="R322" i="8"/>
  <c r="R321" i="8"/>
  <c r="R320" i="8"/>
  <c r="R319" i="8"/>
  <c r="R318" i="8"/>
  <c r="R317" i="8"/>
  <c r="R316" i="8"/>
  <c r="R315" i="8"/>
  <c r="R314" i="8"/>
  <c r="R313" i="8"/>
  <c r="R312" i="8"/>
  <c r="R311" i="8"/>
  <c r="R310" i="8"/>
  <c r="R309" i="8"/>
  <c r="R308" i="8"/>
  <c r="R307" i="8"/>
  <c r="R306" i="8"/>
  <c r="R305" i="8"/>
  <c r="R304" i="8"/>
  <c r="R303" i="8"/>
  <c r="R302" i="8"/>
  <c r="R301" i="8"/>
  <c r="R300" i="8"/>
  <c r="R299" i="8"/>
  <c r="R298" i="8"/>
  <c r="R297" i="8"/>
  <c r="R296" i="8"/>
  <c r="R295" i="8"/>
  <c r="R294" i="8"/>
  <c r="R293" i="8"/>
  <c r="R292" i="8"/>
  <c r="R291" i="8"/>
  <c r="R290" i="8"/>
  <c r="R289" i="8"/>
  <c r="R288" i="8"/>
  <c r="R287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74" i="8"/>
  <c r="R273" i="8"/>
  <c r="R272" i="8"/>
  <c r="R271" i="8"/>
  <c r="R270" i="8"/>
  <c r="R269" i="8"/>
  <c r="R268" i="8"/>
  <c r="R267" i="8"/>
  <c r="R266" i="8"/>
  <c r="R265" i="8"/>
  <c r="R264" i="8"/>
  <c r="R263" i="8"/>
  <c r="R262" i="8"/>
  <c r="R261" i="8"/>
  <c r="R260" i="8"/>
  <c r="R259" i="8"/>
  <c r="R258" i="8"/>
  <c r="R257" i="8"/>
  <c r="R256" i="8"/>
  <c r="R255" i="8"/>
  <c r="R254" i="8"/>
  <c r="R253" i="8"/>
  <c r="R252" i="8"/>
  <c r="R251" i="8"/>
  <c r="R250" i="8"/>
  <c r="R249" i="8"/>
  <c r="R248" i="8"/>
  <c r="R247" i="8"/>
  <c r="R246" i="8"/>
  <c r="R245" i="8"/>
  <c r="R244" i="8"/>
  <c r="R243" i="8"/>
  <c r="R242" i="8"/>
  <c r="R241" i="8"/>
  <c r="R240" i="8"/>
  <c r="R239" i="8"/>
  <c r="R238" i="8"/>
  <c r="R237" i="8"/>
  <c r="R236" i="8"/>
  <c r="R235" i="8"/>
  <c r="R234" i="8"/>
  <c r="R233" i="8"/>
  <c r="R232" i="8"/>
  <c r="R231" i="8"/>
  <c r="R230" i="8"/>
  <c r="R229" i="8"/>
  <c r="R228" i="8"/>
  <c r="R227" i="8"/>
  <c r="R226" i="8"/>
  <c r="R225" i="8"/>
  <c r="R224" i="8"/>
  <c r="R223" i="8"/>
  <c r="R222" i="8"/>
  <c r="R221" i="8"/>
  <c r="R220" i="8"/>
  <c r="R219" i="8"/>
  <c r="R218" i="8"/>
  <c r="R217" i="8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80" i="8"/>
  <c r="R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R140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  <c r="M397" i="8"/>
  <c r="M396" i="8"/>
  <c r="M395" i="8"/>
  <c r="M394" i="8"/>
  <c r="M393" i="8"/>
  <c r="M392" i="8"/>
  <c r="M391" i="8"/>
  <c r="M390" i="8"/>
  <c r="M389" i="8"/>
  <c r="M388" i="8"/>
  <c r="M387" i="8"/>
  <c r="M386" i="8"/>
  <c r="M385" i="8"/>
  <c r="M384" i="8"/>
  <c r="M383" i="8"/>
  <c r="M382" i="8"/>
  <c r="M381" i="8"/>
  <c r="M380" i="8"/>
  <c r="M379" i="8"/>
  <c r="M378" i="8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M333" i="8"/>
  <c r="M332" i="8"/>
  <c r="M331" i="8"/>
  <c r="M330" i="8"/>
  <c r="M329" i="8"/>
  <c r="M328" i="8"/>
  <c r="M327" i="8"/>
  <c r="M326" i="8"/>
  <c r="M325" i="8"/>
  <c r="M324" i="8"/>
  <c r="M323" i="8"/>
  <c r="M322" i="8"/>
  <c r="M321" i="8"/>
  <c r="M320" i="8"/>
  <c r="M319" i="8"/>
  <c r="M318" i="8"/>
  <c r="M317" i="8"/>
  <c r="M316" i="8"/>
  <c r="M315" i="8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E211" i="7"/>
  <c r="B251" i="12" s="1"/>
  <c r="E210" i="7"/>
  <c r="B250" i="12" s="1"/>
  <c r="E209" i="7"/>
  <c r="B249" i="12" s="1"/>
  <c r="E208" i="7"/>
  <c r="B248" i="12" s="1"/>
  <c r="E207" i="7"/>
  <c r="B247" i="12" s="1"/>
  <c r="E206" i="7"/>
  <c r="B246" i="12" s="1"/>
  <c r="E205" i="7"/>
  <c r="B245" i="12" s="1"/>
  <c r="E204" i="7"/>
  <c r="B244" i="12" s="1"/>
  <c r="E203" i="7"/>
  <c r="B243" i="12" s="1"/>
  <c r="E202" i="7"/>
  <c r="B242" i="12" s="1"/>
  <c r="E201" i="7"/>
  <c r="B241" i="12" s="1"/>
  <c r="E200" i="7"/>
  <c r="B240" i="12" s="1"/>
  <c r="E199" i="7"/>
  <c r="B234" i="12" s="1"/>
  <c r="E198" i="7"/>
  <c r="B233" i="12" s="1"/>
  <c r="E197" i="7"/>
  <c r="B232" i="12" s="1"/>
  <c r="E196" i="7"/>
  <c r="B231" i="12" s="1"/>
  <c r="E195" i="7"/>
  <c r="B230" i="12" s="1"/>
  <c r="E194" i="7"/>
  <c r="B229" i="12" s="1"/>
  <c r="E193" i="7"/>
  <c r="B228" i="12" s="1"/>
  <c r="E192" i="7"/>
  <c r="B227" i="12" s="1"/>
  <c r="E191" i="7"/>
  <c r="B226" i="12" s="1"/>
  <c r="E190" i="7"/>
  <c r="B225" i="12" s="1"/>
  <c r="E189" i="7"/>
  <c r="B224" i="12" s="1"/>
  <c r="E188" i="7"/>
  <c r="B223" i="12" s="1"/>
  <c r="E187" i="7"/>
  <c r="B222" i="12" s="1"/>
  <c r="E186" i="7"/>
  <c r="B221" i="12" s="1"/>
  <c r="E185" i="7"/>
  <c r="B220" i="12" s="1"/>
  <c r="E184" i="7"/>
  <c r="B219" i="12" s="1"/>
  <c r="E183" i="7"/>
  <c r="B218" i="12" s="1"/>
  <c r="E182" i="7"/>
  <c r="B217" i="12" s="1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B37" i="12" s="1"/>
  <c r="E31" i="7"/>
  <c r="B36" i="12" s="1"/>
  <c r="E30" i="7"/>
  <c r="B35" i="12" s="1"/>
  <c r="E29" i="7"/>
  <c r="E28" i="7"/>
  <c r="B33" i="12" s="1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B7" i="10"/>
  <c r="B9" i="10"/>
  <c r="B10" i="10"/>
  <c r="C7" i="10"/>
  <c r="C44" i="10"/>
  <c r="C45" i="10"/>
  <c r="D42" i="10"/>
  <c r="D43" i="10"/>
  <c r="D44" i="10"/>
  <c r="D45" i="10"/>
  <c r="E42" i="10"/>
  <c r="E43" i="10"/>
  <c r="E44" i="10"/>
  <c r="E45" i="10"/>
  <c r="F42" i="10"/>
  <c r="F43" i="10"/>
  <c r="F44" i="10"/>
  <c r="F45" i="10"/>
  <c r="G42" i="10"/>
  <c r="G43" i="10"/>
  <c r="G44" i="10"/>
  <c r="G45" i="10"/>
  <c r="B27" i="10"/>
  <c r="B28" i="10"/>
  <c r="B29" i="10"/>
  <c r="B30" i="10"/>
  <c r="C27" i="10"/>
  <c r="C28" i="10"/>
  <c r="C29" i="10"/>
  <c r="C30" i="10"/>
  <c r="D27" i="10"/>
  <c r="D28" i="10"/>
  <c r="D29" i="10"/>
  <c r="D30" i="10"/>
  <c r="D2" i="8"/>
  <c r="D3" i="8" s="1"/>
  <c r="C4" i="8" s="1"/>
  <c r="M2" i="8"/>
  <c r="R2" i="8"/>
  <c r="B3" i="8"/>
  <c r="C3" i="8"/>
  <c r="E3" i="8"/>
  <c r="M3" i="8"/>
  <c r="R3" i="8"/>
  <c r="B4" i="8"/>
  <c r="E4" i="8"/>
  <c r="F4" i="8"/>
  <c r="G4" i="8"/>
  <c r="M4" i="8"/>
  <c r="R4" i="8"/>
  <c r="B5" i="8"/>
  <c r="E5" i="8"/>
  <c r="F5" i="8"/>
  <c r="G5" i="8"/>
  <c r="M5" i="8"/>
  <c r="R5" i="8"/>
  <c r="B6" i="8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E6" i="8"/>
  <c r="F6" i="8"/>
  <c r="G6" i="8"/>
  <c r="M6" i="8"/>
  <c r="R6" i="8"/>
  <c r="E7" i="8"/>
  <c r="F7" i="8"/>
  <c r="G7" i="8"/>
  <c r="M7" i="8"/>
  <c r="R7" i="8"/>
  <c r="E8" i="8"/>
  <c r="E9" i="8" s="1"/>
  <c r="E10" i="8" s="1"/>
  <c r="E11" i="8" s="1"/>
  <c r="E12" i="8" s="1"/>
  <c r="E13" i="8" s="1"/>
  <c r="F8" i="8"/>
  <c r="G8" i="8"/>
  <c r="M8" i="8"/>
  <c r="R8" i="8"/>
  <c r="F9" i="8"/>
  <c r="G9" i="8"/>
  <c r="M9" i="8"/>
  <c r="R9" i="8"/>
  <c r="F10" i="8"/>
  <c r="G10" i="8"/>
  <c r="M10" i="8"/>
  <c r="R10" i="8"/>
  <c r="F11" i="8"/>
  <c r="G11" i="8"/>
  <c r="M11" i="8"/>
  <c r="R11" i="8"/>
  <c r="F12" i="8"/>
  <c r="G12" i="8"/>
  <c r="M12" i="8"/>
  <c r="R12" i="8"/>
  <c r="F13" i="8"/>
  <c r="G13" i="8"/>
  <c r="M13" i="8"/>
  <c r="R13" i="8"/>
  <c r="F14" i="8"/>
  <c r="M14" i="8"/>
  <c r="R14" i="8"/>
  <c r="E15" i="8"/>
  <c r="F15" i="8"/>
  <c r="M15" i="8"/>
  <c r="R15" i="8"/>
  <c r="F16" i="8"/>
  <c r="M16" i="8"/>
  <c r="R16" i="8"/>
  <c r="E17" i="8"/>
  <c r="F17" i="8"/>
  <c r="M17" i="8"/>
  <c r="R17" i="8"/>
  <c r="E18" i="8"/>
  <c r="F18" i="8"/>
  <c r="G18" i="8"/>
  <c r="M18" i="8"/>
  <c r="R18" i="8"/>
  <c r="E19" i="8"/>
  <c r="F19" i="8"/>
  <c r="G19" i="8"/>
  <c r="G21" i="8" s="1"/>
  <c r="G23" i="8" s="1"/>
  <c r="G25" i="8" s="1"/>
  <c r="G27" i="8" s="1"/>
  <c r="M19" i="8"/>
  <c r="R19" i="8"/>
  <c r="E20" i="8"/>
  <c r="F20" i="8"/>
  <c r="F22" i="8" s="1"/>
  <c r="F24" i="8" s="1"/>
  <c r="F26" i="8" s="1"/>
  <c r="F28" i="8" s="1"/>
  <c r="F30" i="8" s="1"/>
  <c r="F32" i="8" s="1"/>
  <c r="F34" i="8" s="1"/>
  <c r="F36" i="8" s="1"/>
  <c r="F38" i="8" s="1"/>
  <c r="F40" i="8" s="1"/>
  <c r="F42" i="8" s="1"/>
  <c r="F44" i="8" s="1"/>
  <c r="F46" i="8" s="1"/>
  <c r="F48" i="8" s="1"/>
  <c r="G20" i="8"/>
  <c r="G22" i="8" s="1"/>
  <c r="G24" i="8" s="1"/>
  <c r="G26" i="8" s="1"/>
  <c r="M20" i="8"/>
  <c r="R20" i="8"/>
  <c r="F21" i="8"/>
  <c r="F23" i="8" s="1"/>
  <c r="F25" i="8" s="1"/>
  <c r="F27" i="8" s="1"/>
  <c r="F29" i="8" s="1"/>
  <c r="F31" i="8" s="1"/>
  <c r="F33" i="8" s="1"/>
  <c r="F35" i="8" s="1"/>
  <c r="F37" i="8" s="1"/>
  <c r="F39" i="8" s="1"/>
  <c r="F41" i="8" s="1"/>
  <c r="F43" i="8" s="1"/>
  <c r="F45" i="8" s="1"/>
  <c r="F47" i="8" s="1"/>
  <c r="F49" i="8" s="1"/>
  <c r="M21" i="8"/>
  <c r="R21" i="8"/>
  <c r="E22" i="8"/>
  <c r="M22" i="8"/>
  <c r="R22" i="8"/>
  <c r="E23" i="8"/>
  <c r="M23" i="8"/>
  <c r="R23" i="8"/>
  <c r="M24" i="8"/>
  <c r="R24" i="8"/>
  <c r="E25" i="8"/>
  <c r="M25" i="8"/>
  <c r="R25" i="8"/>
  <c r="E26" i="8"/>
  <c r="M26" i="8"/>
  <c r="R26" i="8"/>
  <c r="E27" i="8"/>
  <c r="M27" i="8"/>
  <c r="R27" i="8"/>
  <c r="M28" i="8"/>
  <c r="R28" i="8"/>
  <c r="E29" i="8"/>
  <c r="M29" i="8"/>
  <c r="R29" i="8"/>
  <c r="M30" i="8"/>
  <c r="R30" i="8"/>
  <c r="E31" i="8"/>
  <c r="M31" i="8"/>
  <c r="R31" i="8"/>
  <c r="E32" i="8"/>
  <c r="G32" i="8"/>
  <c r="M32" i="8"/>
  <c r="R32" i="8"/>
  <c r="E33" i="8"/>
  <c r="G33" i="8"/>
  <c r="M33" i="8"/>
  <c r="R33" i="8"/>
  <c r="E34" i="8"/>
  <c r="G34" i="8"/>
  <c r="G36" i="8" s="1"/>
  <c r="G38" i="8" s="1"/>
  <c r="G40" i="8" s="1"/>
  <c r="M34" i="8"/>
  <c r="R34" i="8"/>
  <c r="G35" i="8"/>
  <c r="G37" i="8" s="1"/>
  <c r="G39" i="8" s="1"/>
  <c r="G41" i="8" s="1"/>
  <c r="M35" i="8"/>
  <c r="R35" i="8"/>
  <c r="M36" i="8"/>
  <c r="R36" i="8"/>
  <c r="M37" i="8"/>
  <c r="R37" i="8"/>
  <c r="M38" i="8"/>
  <c r="R38" i="8"/>
  <c r="E39" i="8"/>
  <c r="M39" i="8"/>
  <c r="R39" i="8"/>
  <c r="E40" i="8"/>
  <c r="M40" i="8"/>
  <c r="R40" i="8"/>
  <c r="M41" i="8"/>
  <c r="R41" i="8"/>
  <c r="M42" i="8"/>
  <c r="R42" i="8"/>
  <c r="E43" i="8"/>
  <c r="M43" i="8"/>
  <c r="R43" i="8"/>
  <c r="M44" i="8"/>
  <c r="R44" i="8"/>
  <c r="E45" i="8"/>
  <c r="M45" i="8"/>
  <c r="R45" i="8"/>
  <c r="M46" i="8"/>
  <c r="R46" i="8"/>
  <c r="M48" i="8"/>
  <c r="R48" i="8"/>
  <c r="E49" i="8"/>
  <c r="M49" i="8"/>
  <c r="R49" i="8"/>
  <c r="T49" i="8"/>
  <c r="M50" i="8"/>
  <c r="R50" i="8"/>
  <c r="H51" i="8"/>
  <c r="F52" i="8"/>
  <c r="M52" i="8"/>
  <c r="R52" i="8"/>
  <c r="F53" i="8"/>
  <c r="M53" i="8"/>
  <c r="R53" i="8"/>
  <c r="F54" i="8"/>
  <c r="G54" i="8"/>
  <c r="M54" i="8"/>
  <c r="R54" i="8"/>
  <c r="E55" i="8"/>
  <c r="F55" i="8"/>
  <c r="G55" i="8"/>
  <c r="M55" i="8"/>
  <c r="R55" i="8"/>
  <c r="E56" i="8"/>
  <c r="F56" i="8"/>
  <c r="G56" i="8"/>
  <c r="M56" i="8"/>
  <c r="R56" i="8"/>
  <c r="E57" i="8"/>
  <c r="F57" i="8"/>
  <c r="G57" i="8"/>
  <c r="M57" i="8"/>
  <c r="R57" i="8"/>
  <c r="E58" i="8"/>
  <c r="F58" i="8"/>
  <c r="G58" i="8"/>
  <c r="M58" i="8"/>
  <c r="R58" i="8"/>
  <c r="E59" i="8"/>
  <c r="F59" i="8"/>
  <c r="G59" i="8"/>
  <c r="M59" i="8"/>
  <c r="R59" i="8"/>
  <c r="E60" i="8"/>
  <c r="F60" i="8"/>
  <c r="G60" i="8"/>
  <c r="M60" i="8"/>
  <c r="R60" i="8"/>
  <c r="E61" i="8"/>
  <c r="F61" i="8"/>
  <c r="G61" i="8"/>
  <c r="M61" i="8"/>
  <c r="R61" i="8"/>
  <c r="E62" i="8"/>
  <c r="F62" i="8"/>
  <c r="G62" i="8"/>
  <c r="M62" i="8"/>
  <c r="R62" i="8"/>
  <c r="E63" i="8"/>
  <c r="F63" i="8"/>
  <c r="G63" i="8"/>
  <c r="M63" i="8"/>
  <c r="R63" i="8"/>
  <c r="F64" i="8"/>
  <c r="M64" i="8"/>
  <c r="R64" i="8"/>
  <c r="F65" i="8"/>
  <c r="F66" i="8"/>
  <c r="M66" i="8"/>
  <c r="R66" i="8"/>
  <c r="E67" i="8"/>
  <c r="F67" i="8"/>
  <c r="G67" i="8"/>
  <c r="M67" i="8"/>
  <c r="R67" i="8"/>
  <c r="E68" i="8"/>
  <c r="F68" i="8"/>
  <c r="M68" i="8"/>
  <c r="R68" i="8"/>
  <c r="E69" i="8"/>
  <c r="F69" i="8"/>
  <c r="F71" i="8" s="1"/>
  <c r="F73" i="8" s="1"/>
  <c r="F75" i="8" s="1"/>
  <c r="M69" i="8"/>
  <c r="R69" i="8"/>
  <c r="E70" i="8"/>
  <c r="E71" i="8" s="1"/>
  <c r="F70" i="8"/>
  <c r="F72" i="8" s="1"/>
  <c r="F74" i="8" s="1"/>
  <c r="F76" i="8" s="1"/>
  <c r="M70" i="8"/>
  <c r="R70" i="8"/>
  <c r="M71" i="8"/>
  <c r="R71" i="8"/>
  <c r="M72" i="8"/>
  <c r="R72" i="8"/>
  <c r="E73" i="8"/>
  <c r="M73" i="8"/>
  <c r="R73" i="8"/>
  <c r="M74" i="8"/>
  <c r="R74" i="8"/>
  <c r="E75" i="8"/>
  <c r="M75" i="8"/>
  <c r="R75" i="8"/>
  <c r="T75" i="8"/>
  <c r="M76" i="8"/>
  <c r="R76" i="8"/>
  <c r="D77" i="8"/>
  <c r="D78" i="8" s="1"/>
  <c r="C79" i="8" s="1"/>
  <c r="M77" i="8"/>
  <c r="R77" i="8"/>
  <c r="C78" i="8"/>
  <c r="E78" i="8"/>
  <c r="M78" i="8"/>
  <c r="R78" i="8"/>
  <c r="E79" i="8"/>
  <c r="M79" i="8"/>
  <c r="R79" i="8"/>
  <c r="E80" i="8"/>
  <c r="M80" i="8"/>
  <c r="R80" i="8"/>
  <c r="E81" i="8"/>
  <c r="M81" i="8"/>
  <c r="R81" i="8"/>
  <c r="E82" i="8"/>
  <c r="E83" i="8" s="1"/>
  <c r="E84" i="8" s="1"/>
  <c r="E85" i="8" s="1"/>
  <c r="E86" i="8" s="1"/>
  <c r="E87" i="8" s="1"/>
  <c r="E88" i="8" s="1"/>
  <c r="M82" i="8"/>
  <c r="R82" i="8"/>
  <c r="M83" i="8"/>
  <c r="R83" i="8"/>
  <c r="M84" i="8"/>
  <c r="R84" i="8"/>
  <c r="M85" i="8"/>
  <c r="R85" i="8"/>
  <c r="M86" i="8"/>
  <c r="R86" i="8"/>
  <c r="M87" i="8"/>
  <c r="R87" i="8"/>
  <c r="M88" i="8"/>
  <c r="R88" i="8"/>
  <c r="M89" i="8"/>
  <c r="R89" i="8"/>
  <c r="E90" i="8"/>
  <c r="G90" i="8"/>
  <c r="M90" i="8"/>
  <c r="R90" i="8"/>
  <c r="M91" i="8"/>
  <c r="R91" i="8"/>
  <c r="E92" i="8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M92" i="8"/>
  <c r="R92" i="8"/>
  <c r="F93" i="8"/>
  <c r="G93" i="8"/>
  <c r="M93" i="8"/>
  <c r="R93" i="8"/>
  <c r="F94" i="8"/>
  <c r="G94" i="8"/>
  <c r="M94" i="8"/>
  <c r="R94" i="8"/>
  <c r="F95" i="8"/>
  <c r="G95" i="8"/>
  <c r="M95" i="8"/>
  <c r="R95" i="8"/>
  <c r="F96" i="8"/>
  <c r="G96" i="8"/>
  <c r="M96" i="8"/>
  <c r="R96" i="8"/>
  <c r="F97" i="8"/>
  <c r="G97" i="8"/>
  <c r="M97" i="8"/>
  <c r="R97" i="8"/>
  <c r="F98" i="8"/>
  <c r="G98" i="8"/>
  <c r="M98" i="8"/>
  <c r="R98" i="8"/>
  <c r="F99" i="8"/>
  <c r="G99" i="8"/>
  <c r="M99" i="8"/>
  <c r="R99" i="8"/>
  <c r="F100" i="8"/>
  <c r="G100" i="8"/>
  <c r="M100" i="8"/>
  <c r="R100" i="8"/>
  <c r="F101" i="8"/>
  <c r="G101" i="8"/>
  <c r="M101" i="8"/>
  <c r="R101" i="8"/>
  <c r="F102" i="8"/>
  <c r="G102" i="8"/>
  <c r="M102" i="8"/>
  <c r="R102" i="8"/>
  <c r="F103" i="8"/>
  <c r="F105" i="8" s="1"/>
  <c r="F107" i="8" s="1"/>
  <c r="F109" i="8" s="1"/>
  <c r="F111" i="8" s="1"/>
  <c r="F113" i="8" s="1"/>
  <c r="F115" i="8" s="1"/>
  <c r="F117" i="8" s="1"/>
  <c r="F119" i="8" s="1"/>
  <c r="F121" i="8" s="1"/>
  <c r="F123" i="8" s="1"/>
  <c r="F125" i="8" s="1"/>
  <c r="F127" i="8" s="1"/>
  <c r="F129" i="8" s="1"/>
  <c r="F131" i="8" s="1"/>
  <c r="F133" i="8" s="1"/>
  <c r="F135" i="8" s="1"/>
  <c r="F137" i="8" s="1"/>
  <c r="M103" i="8"/>
  <c r="R103" i="8"/>
  <c r="E104" i="8"/>
  <c r="F104" i="8"/>
  <c r="F106" i="8" s="1"/>
  <c r="F108" i="8" s="1"/>
  <c r="F110" i="8" s="1"/>
  <c r="F112" i="8" s="1"/>
  <c r="F114" i="8" s="1"/>
  <c r="F116" i="8" s="1"/>
  <c r="F118" i="8" s="1"/>
  <c r="F120" i="8" s="1"/>
  <c r="F122" i="8" s="1"/>
  <c r="F124" i="8" s="1"/>
  <c r="F126" i="8" s="1"/>
  <c r="F128" i="8" s="1"/>
  <c r="F130" i="8" s="1"/>
  <c r="F132" i="8" s="1"/>
  <c r="F134" i="8" s="1"/>
  <c r="F136" i="8" s="1"/>
  <c r="F138" i="8" s="1"/>
  <c r="G104" i="8"/>
  <c r="M104" i="8"/>
  <c r="R104" i="8"/>
  <c r="M105" i="8"/>
  <c r="R105" i="8"/>
  <c r="E106" i="8"/>
  <c r="M106" i="8"/>
  <c r="R106" i="8"/>
  <c r="E107" i="8"/>
  <c r="G107" i="8"/>
  <c r="M107" i="8"/>
  <c r="R107" i="8"/>
  <c r="E108" i="8"/>
  <c r="G108" i="8"/>
  <c r="M108" i="8"/>
  <c r="R108" i="8"/>
  <c r="E109" i="8"/>
  <c r="G109" i="8"/>
  <c r="M109" i="8"/>
  <c r="R109" i="8"/>
  <c r="E110" i="8"/>
  <c r="G110" i="8"/>
  <c r="M110" i="8"/>
  <c r="R110" i="8"/>
  <c r="E111" i="8"/>
  <c r="G111" i="8"/>
  <c r="M111" i="8"/>
  <c r="R111" i="8"/>
  <c r="E112" i="8"/>
  <c r="G112" i="8"/>
  <c r="M112" i="8"/>
  <c r="R112" i="8"/>
  <c r="E113" i="8"/>
  <c r="G113" i="8"/>
  <c r="M113" i="8"/>
  <c r="R113" i="8"/>
  <c r="E114" i="8"/>
  <c r="G114" i="8"/>
  <c r="M114" i="8"/>
  <c r="R114" i="8"/>
  <c r="E115" i="8"/>
  <c r="G115" i="8"/>
  <c r="M115" i="8"/>
  <c r="R115" i="8"/>
  <c r="E116" i="8"/>
  <c r="G116" i="8"/>
  <c r="M116" i="8"/>
  <c r="R116" i="8"/>
  <c r="M117" i="8"/>
  <c r="R117" i="8"/>
  <c r="E118" i="8"/>
  <c r="G118" i="8"/>
  <c r="M118" i="8"/>
  <c r="R118" i="8"/>
  <c r="M119" i="8"/>
  <c r="R119" i="8"/>
  <c r="E120" i="8"/>
  <c r="M120" i="8"/>
  <c r="R120" i="8"/>
  <c r="E121" i="8"/>
  <c r="G121" i="8"/>
  <c r="M121" i="8"/>
  <c r="R121" i="8"/>
  <c r="E122" i="8"/>
  <c r="G122" i="8"/>
  <c r="M122" i="8"/>
  <c r="R122" i="8"/>
  <c r="E123" i="8"/>
  <c r="G123" i="8"/>
  <c r="M123" i="8"/>
  <c r="R123" i="8"/>
  <c r="E124" i="8"/>
  <c r="G124" i="8"/>
  <c r="M124" i="8"/>
  <c r="R124" i="8"/>
  <c r="E125" i="8"/>
  <c r="G125" i="8"/>
  <c r="M125" i="8"/>
  <c r="R125" i="8"/>
  <c r="E126" i="8"/>
  <c r="G126" i="8"/>
  <c r="M126" i="8"/>
  <c r="R126" i="8"/>
  <c r="E127" i="8"/>
  <c r="G127" i="8"/>
  <c r="M127" i="8"/>
  <c r="R127" i="8"/>
  <c r="E128" i="8"/>
  <c r="G128" i="8"/>
  <c r="M128" i="8"/>
  <c r="R128" i="8"/>
  <c r="E129" i="8"/>
  <c r="G129" i="8"/>
  <c r="M129" i="8"/>
  <c r="R129" i="8"/>
  <c r="E130" i="8"/>
  <c r="G130" i="8"/>
  <c r="M130" i="8"/>
  <c r="R130" i="8"/>
  <c r="M131" i="8"/>
  <c r="R131" i="8"/>
  <c r="E132" i="8"/>
  <c r="G132" i="8"/>
  <c r="M132" i="8"/>
  <c r="R132" i="8"/>
  <c r="M133" i="8"/>
  <c r="R133" i="8"/>
  <c r="E134" i="8"/>
  <c r="M134" i="8"/>
  <c r="R134" i="8"/>
  <c r="E135" i="8"/>
  <c r="M135" i="8"/>
  <c r="R135" i="8"/>
  <c r="E136" i="8"/>
  <c r="M136" i="8"/>
  <c r="R136" i="8"/>
  <c r="M137" i="8"/>
  <c r="R137" i="8"/>
  <c r="E138" i="8"/>
  <c r="M138" i="8"/>
  <c r="R138" i="8"/>
  <c r="M139" i="8"/>
  <c r="R139" i="8"/>
  <c r="D140" i="8"/>
  <c r="D141" i="8" s="1"/>
  <c r="C142" i="8" s="1"/>
  <c r="C141" i="8"/>
  <c r="E141" i="8"/>
  <c r="E142" i="8"/>
  <c r="F142" i="8"/>
  <c r="G142" i="8"/>
  <c r="E143" i="8"/>
  <c r="F143" i="8"/>
  <c r="G143" i="8"/>
  <c r="E144" i="8"/>
  <c r="E145" i="8" s="1"/>
  <c r="E146" i="8" s="1"/>
  <c r="E147" i="8" s="1"/>
  <c r="E148" i="8" s="1"/>
  <c r="E149" i="8" s="1"/>
  <c r="E150" i="8" s="1"/>
  <c r="E151" i="8" s="1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E153" i="8"/>
  <c r="F153" i="8"/>
  <c r="G153" i="8"/>
  <c r="F154" i="8"/>
  <c r="E155" i="8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F155" i="8"/>
  <c r="F156" i="8"/>
  <c r="F158" i="8" s="1"/>
  <c r="F160" i="8" s="1"/>
  <c r="F162" i="8" s="1"/>
  <c r="F164" i="8" s="1"/>
  <c r="F166" i="8" s="1"/>
  <c r="F168" i="8" s="1"/>
  <c r="F170" i="8" s="1"/>
  <c r="F172" i="8" s="1"/>
  <c r="F174" i="8" s="1"/>
  <c r="F176" i="8" s="1"/>
  <c r="F178" i="8" s="1"/>
  <c r="F180" i="8" s="1"/>
  <c r="F182" i="8" s="1"/>
  <c r="F184" i="8" s="1"/>
  <c r="F186" i="8" s="1"/>
  <c r="F188" i="8" s="1"/>
  <c r="G156" i="8"/>
  <c r="G158" i="8" s="1"/>
  <c r="G160" i="8" s="1"/>
  <c r="G162" i="8" s="1"/>
  <c r="G164" i="8" s="1"/>
  <c r="F157" i="8"/>
  <c r="F159" i="8" s="1"/>
  <c r="F161" i="8" s="1"/>
  <c r="F163" i="8" s="1"/>
  <c r="F165" i="8" s="1"/>
  <c r="F167" i="8" s="1"/>
  <c r="F169" i="8" s="1"/>
  <c r="F171" i="8" s="1"/>
  <c r="F173" i="8" s="1"/>
  <c r="F175" i="8" s="1"/>
  <c r="F177" i="8" s="1"/>
  <c r="F179" i="8" s="1"/>
  <c r="F181" i="8" s="1"/>
  <c r="F183" i="8" s="1"/>
  <c r="F185" i="8" s="1"/>
  <c r="F187" i="8" s="1"/>
  <c r="G157" i="8"/>
  <c r="G159" i="8" s="1"/>
  <c r="G161" i="8" s="1"/>
  <c r="G163" i="8" s="1"/>
  <c r="G165" i="8" s="1"/>
  <c r="E167" i="8"/>
  <c r="G167" i="8"/>
  <c r="E169" i="8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G170" i="8"/>
  <c r="G171" i="8"/>
  <c r="G172" i="8"/>
  <c r="G173" i="8"/>
  <c r="G174" i="8"/>
  <c r="G175" i="8"/>
  <c r="G176" i="8"/>
  <c r="G178" i="8" s="1"/>
  <c r="G177" i="8"/>
  <c r="G179" i="8"/>
  <c r="E181" i="8"/>
  <c r="G181" i="8"/>
  <c r="E183" i="8"/>
  <c r="E184" i="8" s="1"/>
  <c r="H185" i="8"/>
  <c r="E187" i="8"/>
  <c r="T187" i="8"/>
  <c r="D189" i="8"/>
  <c r="D190" i="8" s="1"/>
  <c r="C191" i="8" s="1"/>
  <c r="C190" i="8"/>
  <c r="E190" i="8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E202" i="8"/>
  <c r="F202" i="8"/>
  <c r="G202" i="8"/>
  <c r="E204" i="8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F205" i="8"/>
  <c r="G205" i="8"/>
  <c r="F206" i="8"/>
  <c r="G206" i="8"/>
  <c r="F207" i="8"/>
  <c r="G207" i="8"/>
  <c r="F208" i="8"/>
  <c r="G208" i="8"/>
  <c r="F209" i="8"/>
  <c r="G209" i="8"/>
  <c r="F210" i="8"/>
  <c r="G210" i="8"/>
  <c r="F211" i="8"/>
  <c r="G211" i="8"/>
  <c r="F212" i="8"/>
  <c r="G212" i="8"/>
  <c r="F213" i="8"/>
  <c r="G213" i="8"/>
  <c r="F214" i="8"/>
  <c r="G214" i="8"/>
  <c r="F215" i="8"/>
  <c r="E216" i="8"/>
  <c r="F216" i="8"/>
  <c r="G216" i="8"/>
  <c r="E218" i="8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F219" i="8"/>
  <c r="G219" i="8"/>
  <c r="F220" i="8"/>
  <c r="G220" i="8"/>
  <c r="F221" i="8"/>
  <c r="G221" i="8"/>
  <c r="F222" i="8"/>
  <c r="G222" i="8"/>
  <c r="F223" i="8"/>
  <c r="G223" i="8"/>
  <c r="F224" i="8"/>
  <c r="G224" i="8"/>
  <c r="F225" i="8"/>
  <c r="F227" i="8" s="1"/>
  <c r="F229" i="8" s="1"/>
  <c r="F231" i="8" s="1"/>
  <c r="F233" i="8" s="1"/>
  <c r="F235" i="8" s="1"/>
  <c r="F237" i="8" s="1"/>
  <c r="G225" i="8"/>
  <c r="G227" i="8" s="1"/>
  <c r="F226" i="8"/>
  <c r="F228" i="8" s="1"/>
  <c r="F230" i="8" s="1"/>
  <c r="F232" i="8" s="1"/>
  <c r="F234" i="8" s="1"/>
  <c r="F236" i="8" s="1"/>
  <c r="G226" i="8"/>
  <c r="G228" i="8" s="1"/>
  <c r="E230" i="8"/>
  <c r="G230" i="8"/>
  <c r="E232" i="8"/>
  <c r="E233" i="8" s="1"/>
  <c r="H234" i="8"/>
  <c r="E236" i="8"/>
  <c r="T236" i="8"/>
  <c r="D238" i="8"/>
  <c r="D239" i="8" s="1"/>
  <c r="D240" i="8" s="1"/>
  <c r="C241" i="8" s="1"/>
  <c r="C239" i="8"/>
  <c r="E239" i="8"/>
  <c r="C240" i="8"/>
  <c r="E240" i="8"/>
  <c r="E241" i="8"/>
  <c r="F241" i="8"/>
  <c r="G241" i="8"/>
  <c r="E242" i="8"/>
  <c r="F242" i="8"/>
  <c r="G242" i="8"/>
  <c r="E243" i="8"/>
  <c r="F243" i="8"/>
  <c r="G243" i="8"/>
  <c r="E244" i="8"/>
  <c r="F244" i="8"/>
  <c r="G244" i="8"/>
  <c r="E245" i="8"/>
  <c r="F245" i="8"/>
  <c r="G245" i="8"/>
  <c r="E246" i="8"/>
  <c r="F246" i="8"/>
  <c r="G246" i="8"/>
  <c r="E247" i="8"/>
  <c r="F247" i="8"/>
  <c r="G247" i="8"/>
  <c r="E248" i="8"/>
  <c r="F248" i="8"/>
  <c r="G248" i="8"/>
  <c r="E249" i="8"/>
  <c r="F249" i="8"/>
  <c r="G249" i="8"/>
  <c r="E250" i="8"/>
  <c r="F250" i="8"/>
  <c r="G250" i="8"/>
  <c r="E251" i="8"/>
  <c r="F251" i="8"/>
  <c r="G251" i="8"/>
  <c r="E252" i="8"/>
  <c r="F252" i="8"/>
  <c r="G252" i="8"/>
  <c r="E253" i="8"/>
  <c r="F253" i="8"/>
  <c r="G253" i="8"/>
  <c r="E254" i="8"/>
  <c r="F254" i="8"/>
  <c r="G254" i="8"/>
  <c r="E255" i="8"/>
  <c r="F255" i="8"/>
  <c r="G255" i="8"/>
  <c r="F256" i="8"/>
  <c r="F257" i="8"/>
  <c r="F258" i="8"/>
  <c r="F259" i="8"/>
  <c r="E260" i="8"/>
  <c r="F260" i="8"/>
  <c r="T260" i="8"/>
  <c r="F261" i="8"/>
  <c r="F262" i="8"/>
  <c r="F263" i="8"/>
  <c r="F264" i="8"/>
  <c r="F265" i="8"/>
  <c r="G265" i="8"/>
  <c r="E266" i="8"/>
  <c r="E267" i="8" s="1"/>
  <c r="E268" i="8" s="1"/>
  <c r="E269" i="8" s="1"/>
  <c r="E270" i="8" s="1"/>
  <c r="E271" i="8" s="1"/>
  <c r="E272" i="8" s="1"/>
  <c r="E273" i="8" s="1"/>
  <c r="E274" i="8" s="1"/>
  <c r="E275" i="8" s="1"/>
  <c r="F266" i="8"/>
  <c r="F267" i="8"/>
  <c r="F268" i="8"/>
  <c r="F269" i="8"/>
  <c r="F270" i="8"/>
  <c r="F271" i="8"/>
  <c r="F272" i="8"/>
  <c r="F273" i="8"/>
  <c r="F274" i="8"/>
  <c r="F275" i="8"/>
  <c r="F276" i="8"/>
  <c r="F277" i="8"/>
  <c r="E278" i="8"/>
  <c r="F278" i="8"/>
  <c r="F279" i="8"/>
  <c r="E280" i="8"/>
  <c r="E281" i="8" s="1"/>
  <c r="E282" i="8" s="1"/>
  <c r="E283" i="8" s="1"/>
  <c r="E284" i="8" s="1"/>
  <c r="E285" i="8" s="1"/>
  <c r="E286" i="8" s="1"/>
  <c r="E287" i="8" s="1"/>
  <c r="E288" i="8" s="1"/>
  <c r="F280" i="8"/>
  <c r="F281" i="8"/>
  <c r="F282" i="8"/>
  <c r="F283" i="8"/>
  <c r="F284" i="8"/>
  <c r="F285" i="8"/>
  <c r="F286" i="8"/>
  <c r="F287" i="8"/>
  <c r="F288" i="8"/>
  <c r="F289" i="8"/>
  <c r="E290" i="8"/>
  <c r="F290" i="8"/>
  <c r="F291" i="8"/>
  <c r="E292" i="8"/>
  <c r="F292" i="8"/>
  <c r="G292" i="8"/>
  <c r="F293" i="8"/>
  <c r="E294" i="8"/>
  <c r="F294" i="8"/>
  <c r="F295" i="8"/>
  <c r="E296" i="8"/>
  <c r="F296" i="8"/>
  <c r="E297" i="8"/>
  <c r="F297" i="8"/>
  <c r="F298" i="8"/>
  <c r="E299" i="8"/>
  <c r="E300" i="8" s="1"/>
  <c r="F299" i="8"/>
  <c r="F300" i="8"/>
  <c r="F301" i="8"/>
  <c r="E302" i="8"/>
  <c r="E303" i="8" s="1"/>
  <c r="E304" i="8" s="1"/>
  <c r="F302" i="8"/>
  <c r="F303" i="8"/>
  <c r="F304" i="8"/>
  <c r="F305" i="8"/>
  <c r="E306" i="8"/>
  <c r="F306" i="8"/>
  <c r="E307" i="8"/>
  <c r="F307" i="8"/>
  <c r="F308" i="8"/>
  <c r="E309" i="8"/>
  <c r="F309" i="8"/>
  <c r="F310" i="8"/>
  <c r="E311" i="8"/>
  <c r="F311" i="8"/>
  <c r="T311" i="8"/>
  <c r="F312" i="8"/>
  <c r="F313" i="8"/>
  <c r="F314" i="8"/>
  <c r="E315" i="8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F315" i="8"/>
  <c r="F316" i="8"/>
  <c r="F317" i="8"/>
  <c r="F318" i="8"/>
  <c r="F319" i="8"/>
  <c r="F320" i="8"/>
  <c r="F321" i="8"/>
  <c r="F322" i="8"/>
  <c r="F323" i="8"/>
  <c r="F324" i="8"/>
  <c r="F325" i="8"/>
  <c r="F326" i="8"/>
  <c r="E327" i="8"/>
  <c r="F327" i="8"/>
  <c r="F328" i="8"/>
  <c r="F331" i="8" s="1"/>
  <c r="F334" i="8" s="1"/>
  <c r="F337" i="8" s="1"/>
  <c r="F340" i="8" s="1"/>
  <c r="F343" i="8" s="1"/>
  <c r="F346" i="8" s="1"/>
  <c r="F349" i="8" s="1"/>
  <c r="F352" i="8" s="1"/>
  <c r="F355" i="8" s="1"/>
  <c r="F358" i="8" s="1"/>
  <c r="F361" i="8" s="1"/>
  <c r="F364" i="8" s="1"/>
  <c r="F367" i="8" s="1"/>
  <c r="F370" i="8" s="1"/>
  <c r="F373" i="8" s="1"/>
  <c r="F376" i="8" s="1"/>
  <c r="F379" i="8" s="1"/>
  <c r="F382" i="8" s="1"/>
  <c r="F385" i="8" s="1"/>
  <c r="F388" i="8" s="1"/>
  <c r="F391" i="8" s="1"/>
  <c r="F394" i="8" s="1"/>
  <c r="F397" i="8" s="1"/>
  <c r="F400" i="8" s="1"/>
  <c r="F403" i="8" s="1"/>
  <c r="F406" i="8" s="1"/>
  <c r="F409" i="8" s="1"/>
  <c r="F412" i="8" s="1"/>
  <c r="F415" i="8" s="1"/>
  <c r="F418" i="8" s="1"/>
  <c r="F421" i="8" s="1"/>
  <c r="F424" i="8" s="1"/>
  <c r="F427" i="8" s="1"/>
  <c r="E329" i="8"/>
  <c r="F329" i="8"/>
  <c r="E330" i="8"/>
  <c r="F330" i="8"/>
  <c r="E331" i="8"/>
  <c r="E332" i="8" s="1"/>
  <c r="E333" i="8" s="1"/>
  <c r="E334" i="8" s="1"/>
  <c r="E335" i="8" s="1"/>
  <c r="E336" i="8" s="1"/>
  <c r="E337" i="8" s="1"/>
  <c r="E338" i="8" s="1"/>
  <c r="E339" i="8" s="1"/>
  <c r="F332" i="8"/>
  <c r="F333" i="8"/>
  <c r="F335" i="8"/>
  <c r="F336" i="8"/>
  <c r="F339" i="8" s="1"/>
  <c r="F342" i="8" s="1"/>
  <c r="F345" i="8" s="1"/>
  <c r="F348" i="8" s="1"/>
  <c r="F351" i="8" s="1"/>
  <c r="F354" i="8" s="1"/>
  <c r="F357" i="8" s="1"/>
  <c r="F360" i="8" s="1"/>
  <c r="F363" i="8" s="1"/>
  <c r="F366" i="8" s="1"/>
  <c r="F369" i="8" s="1"/>
  <c r="F372" i="8" s="1"/>
  <c r="F375" i="8" s="1"/>
  <c r="F378" i="8" s="1"/>
  <c r="F381" i="8" s="1"/>
  <c r="F384" i="8" s="1"/>
  <c r="F387" i="8" s="1"/>
  <c r="F390" i="8" s="1"/>
  <c r="F393" i="8" s="1"/>
  <c r="F396" i="8" s="1"/>
  <c r="F399" i="8" s="1"/>
  <c r="F402" i="8" s="1"/>
  <c r="F405" i="8" s="1"/>
  <c r="F408" i="8" s="1"/>
  <c r="F411" i="8" s="1"/>
  <c r="F414" i="8" s="1"/>
  <c r="F417" i="8" s="1"/>
  <c r="F420" i="8" s="1"/>
  <c r="F423" i="8" s="1"/>
  <c r="F426" i="8" s="1"/>
  <c r="F338" i="8"/>
  <c r="E341" i="8"/>
  <c r="F341" i="8"/>
  <c r="E343" i="8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F344" i="8"/>
  <c r="F347" i="8"/>
  <c r="F350" i="8"/>
  <c r="F353" i="8"/>
  <c r="E355" i="8"/>
  <c r="F356" i="8"/>
  <c r="E357" i="8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F359" i="8"/>
  <c r="F362" i="8"/>
  <c r="F365" i="8"/>
  <c r="F368" i="8" s="1"/>
  <c r="F371" i="8" s="1"/>
  <c r="F374" i="8" s="1"/>
  <c r="F377" i="8" s="1"/>
  <c r="F380" i="8" s="1"/>
  <c r="F383" i="8" s="1"/>
  <c r="F386" i="8" s="1"/>
  <c r="F389" i="8" s="1"/>
  <c r="F392" i="8" s="1"/>
  <c r="F395" i="8" s="1"/>
  <c r="F398" i="8" s="1"/>
  <c r="F401" i="8" s="1"/>
  <c r="F404" i="8" s="1"/>
  <c r="F407" i="8" s="1"/>
  <c r="F410" i="8" s="1"/>
  <c r="F413" i="8" s="1"/>
  <c r="F416" i="8" s="1"/>
  <c r="F419" i="8" s="1"/>
  <c r="F422" i="8" s="1"/>
  <c r="F425" i="8" s="1"/>
  <c r="E369" i="8"/>
  <c r="G369" i="8"/>
  <c r="E371" i="8"/>
  <c r="E372" i="8" s="1"/>
  <c r="E373" i="8" s="1"/>
  <c r="E375" i="8"/>
  <c r="E378" i="8"/>
  <c r="E379" i="8" s="1"/>
  <c r="E380" i="8" s="1"/>
  <c r="E381" i="8" s="1"/>
  <c r="E382" i="8" s="1"/>
  <c r="E383" i="8" s="1"/>
  <c r="E384" i="8" s="1"/>
  <c r="E385" i="8" s="1"/>
  <c r="E386" i="8" s="1"/>
  <c r="E387" i="8" s="1"/>
  <c r="E388" i="8" s="1"/>
  <c r="E390" i="8"/>
  <c r="G390" i="8"/>
  <c r="E392" i="8"/>
  <c r="E393" i="8"/>
  <c r="E394" i="8" s="1"/>
  <c r="E395" i="8" s="1"/>
  <c r="E396" i="8" s="1"/>
  <c r="E397" i="8" s="1"/>
  <c r="E398" i="8" s="1"/>
  <c r="E399" i="8" s="1"/>
  <c r="E400" i="8" s="1"/>
  <c r="E401" i="8" s="1"/>
  <c r="E402" i="8" s="1"/>
  <c r="E404" i="8"/>
  <c r="G404" i="8"/>
  <c r="E406" i="8"/>
  <c r="E407" i="8" s="1"/>
  <c r="E408" i="8" s="1"/>
  <c r="E409" i="8" s="1"/>
  <c r="E410" i="8" s="1"/>
  <c r="E411" i="8" s="1"/>
  <c r="E412" i="8" s="1"/>
  <c r="E413" i="8" s="1"/>
  <c r="E414" i="8" s="1"/>
  <c r="E415" i="8" s="1"/>
  <c r="E416" i="8" s="1"/>
  <c r="E418" i="8"/>
  <c r="G418" i="8"/>
  <c r="E421" i="8"/>
  <c r="E422" i="8" s="1"/>
  <c r="E425" i="8"/>
  <c r="T425" i="8"/>
  <c r="C1" i="10"/>
  <c r="D1" i="10"/>
  <c r="E1" i="10"/>
  <c r="F1" i="10"/>
  <c r="G1" i="10"/>
  <c r="H1" i="10"/>
  <c r="I1" i="10"/>
  <c r="A4" i="9"/>
  <c r="G4" i="9"/>
  <c r="A5" i="9"/>
  <c r="A6" i="9"/>
  <c r="G6" i="9"/>
  <c r="A7" i="9"/>
  <c r="A8" i="9"/>
  <c r="G8" i="9"/>
  <c r="A9" i="9"/>
  <c r="A10" i="9"/>
  <c r="A13" i="9"/>
  <c r="A14" i="9"/>
  <c r="A15" i="9"/>
  <c r="A16" i="9"/>
  <c r="A17" i="9"/>
  <c r="A18" i="9"/>
  <c r="A19" i="9"/>
  <c r="A74" i="9" s="1"/>
  <c r="A85" i="9" s="1"/>
  <c r="A96" i="9" s="1"/>
  <c r="A20" i="9"/>
  <c r="A75" i="9" s="1"/>
  <c r="A86" i="9" s="1"/>
  <c r="A97" i="9" s="1"/>
  <c r="A21" i="9"/>
  <c r="A76" i="9" s="1"/>
  <c r="A87" i="9" s="1"/>
  <c r="A98" i="9" s="1"/>
  <c r="A24" i="9"/>
  <c r="A25" i="9"/>
  <c r="A26" i="9"/>
  <c r="G26" i="9"/>
  <c r="A27" i="9"/>
  <c r="A28" i="9"/>
  <c r="G28" i="9"/>
  <c r="A29" i="9"/>
  <c r="A30" i="9"/>
  <c r="G30" i="9"/>
  <c r="A31" i="9"/>
  <c r="A32" i="9"/>
  <c r="G32" i="9"/>
  <c r="A35" i="9"/>
  <c r="A36" i="9"/>
  <c r="A37" i="9"/>
  <c r="G37" i="9"/>
  <c r="A38" i="9"/>
  <c r="A39" i="9"/>
  <c r="G39" i="9"/>
  <c r="A40" i="9"/>
  <c r="A41" i="9"/>
  <c r="G41" i="9"/>
  <c r="A42" i="9"/>
  <c r="A43" i="9"/>
  <c r="A46" i="9"/>
  <c r="A47" i="9"/>
  <c r="A48" i="9"/>
  <c r="G48" i="9"/>
  <c r="A49" i="9"/>
  <c r="A50" i="9"/>
  <c r="G50" i="9"/>
  <c r="A51" i="9"/>
  <c r="A52" i="9"/>
  <c r="G52" i="9"/>
  <c r="A53" i="9"/>
  <c r="A54" i="9"/>
  <c r="A57" i="9"/>
  <c r="A58" i="9"/>
  <c r="A59" i="9"/>
  <c r="A60" i="9"/>
  <c r="A61" i="9"/>
  <c r="A62" i="9"/>
  <c r="A63" i="9"/>
  <c r="A64" i="9"/>
  <c r="A65" i="9"/>
  <c r="A68" i="9"/>
  <c r="A69" i="9"/>
  <c r="A80" i="9" s="1"/>
  <c r="A91" i="9" s="1"/>
  <c r="A70" i="9"/>
  <c r="A81" i="9" s="1"/>
  <c r="A92" i="9" s="1"/>
  <c r="A71" i="9"/>
  <c r="A82" i="9" s="1"/>
  <c r="A93" i="9" s="1"/>
  <c r="A72" i="9"/>
  <c r="A83" i="9" s="1"/>
  <c r="A94" i="9" s="1"/>
  <c r="A73" i="9"/>
  <c r="A84" i="9" s="1"/>
  <c r="A95" i="9" s="1"/>
  <c r="A79" i="9"/>
  <c r="G81" i="9"/>
  <c r="G83" i="9"/>
  <c r="G85" i="9"/>
  <c r="G87" i="9"/>
  <c r="A90" i="9"/>
  <c r="G92" i="9"/>
  <c r="G94" i="9"/>
  <c r="G96" i="9"/>
  <c r="G69" i="5"/>
  <c r="G70" i="5" s="1"/>
  <c r="F70" i="5"/>
  <c r="C41" i="5"/>
  <c r="K9" i="5"/>
  <c r="K10" i="5" s="1"/>
  <c r="K11" i="5" s="1"/>
  <c r="K4" i="5"/>
  <c r="K5" i="5" s="1"/>
  <c r="K6" i="5" s="1"/>
  <c r="I71" i="5"/>
  <c r="I73" i="5"/>
  <c r="H73" i="5"/>
  <c r="G73" i="5"/>
  <c r="F73" i="5"/>
  <c r="C25" i="5"/>
  <c r="C26" i="5"/>
  <c r="C28" i="5"/>
  <c r="E70" i="5"/>
  <c r="D70" i="5" s="1"/>
  <c r="C70" i="5" s="1"/>
  <c r="B70" i="5" s="1"/>
  <c r="D69" i="5"/>
  <c r="C69" i="5" s="1"/>
  <c r="B69" i="5" s="1"/>
  <c r="B42" i="5"/>
  <c r="O4" i="5"/>
  <c r="O5" i="5" s="1"/>
  <c r="B44" i="5"/>
  <c r="B43" i="5"/>
  <c r="C50" i="5"/>
  <c r="C53" i="5"/>
  <c r="C52" i="5"/>
  <c r="D71" i="5"/>
  <c r="B73" i="5"/>
  <c r="C51" i="5"/>
  <c r="B40" i="5"/>
  <c r="B20" i="5"/>
  <c r="B19" i="5"/>
  <c r="B18" i="5"/>
  <c r="B17" i="5"/>
  <c r="R4" i="5"/>
  <c r="R5" i="5" s="1"/>
  <c r="Q4" i="5"/>
  <c r="Q5" i="5" s="1"/>
  <c r="P4" i="5"/>
  <c r="P5" i="5" s="1"/>
  <c r="N4" i="5"/>
  <c r="N5" i="5" s="1"/>
  <c r="G11" i="5"/>
  <c r="I83" i="5" s="1"/>
  <c r="G9" i="5"/>
  <c r="F10" i="5"/>
  <c r="E4" i="5"/>
  <c r="G3" i="5"/>
  <c r="B34" i="1"/>
  <c r="A34" i="1"/>
  <c r="B33" i="1"/>
  <c r="A33" i="1"/>
  <c r="B21" i="1"/>
  <c r="B20" i="1"/>
  <c r="I37" i="1"/>
  <c r="I36" i="1"/>
  <c r="I35" i="1"/>
  <c r="I34" i="1"/>
  <c r="I33" i="1"/>
  <c r="I32" i="1"/>
  <c r="B13" i="1"/>
  <c r="D7" i="1"/>
  <c r="B7" i="1"/>
  <c r="E6" i="1"/>
  <c r="C7" i="1"/>
  <c r="B216" i="12" l="1"/>
  <c r="C43" i="10"/>
  <c r="B215" i="12"/>
  <c r="C42" i="10"/>
  <c r="B92" i="9" s="1" a="1"/>
  <c r="B214" i="12"/>
  <c r="B45" i="10"/>
  <c r="B213" i="12"/>
  <c r="B44" i="10"/>
  <c r="B212" i="12"/>
  <c r="B43" i="10"/>
  <c r="B205" i="12"/>
  <c r="I40" i="10"/>
  <c r="B204" i="12"/>
  <c r="I39" i="10"/>
  <c r="B203" i="12"/>
  <c r="I38" i="10"/>
  <c r="B202" i="12"/>
  <c r="I37" i="10"/>
  <c r="B87" i="9" s="1" a="1"/>
  <c r="B201" i="12"/>
  <c r="H40" i="10"/>
  <c r="B200" i="12"/>
  <c r="H39" i="10"/>
  <c r="B199" i="12"/>
  <c r="H38" i="10"/>
  <c r="B198" i="12"/>
  <c r="H37" i="10"/>
  <c r="B86" i="9" s="1" a="1"/>
  <c r="B69" i="12"/>
  <c r="F15" i="10"/>
  <c r="B68" i="12"/>
  <c r="F14" i="10"/>
  <c r="B67" i="12"/>
  <c r="F13" i="10"/>
  <c r="B66" i="12"/>
  <c r="F12" i="10"/>
  <c r="B29" i="9" s="1" a="1"/>
  <c r="B65" i="12"/>
  <c r="E15" i="10"/>
  <c r="B64" i="12"/>
  <c r="E14" i="10"/>
  <c r="B63" i="12"/>
  <c r="E13" i="10"/>
  <c r="B62" i="12"/>
  <c r="E12" i="10"/>
  <c r="B28" i="9" s="1" a="1"/>
  <c r="B61" i="12"/>
  <c r="D15" i="10"/>
  <c r="B60" i="12"/>
  <c r="D14" i="10"/>
  <c r="B59" i="12"/>
  <c r="D13" i="10"/>
  <c r="B58" i="12"/>
  <c r="D12" i="10"/>
  <c r="B27" i="9" s="1" a="1"/>
  <c r="B57" i="12"/>
  <c r="C15" i="10"/>
  <c r="B56" i="12"/>
  <c r="C14" i="10"/>
  <c r="B55" i="12"/>
  <c r="C13" i="10"/>
  <c r="B54" i="12"/>
  <c r="C12" i="10"/>
  <c r="B26" i="9" s="1" a="1"/>
  <c r="B53" i="12"/>
  <c r="B15" i="10"/>
  <c r="B52" i="12"/>
  <c r="B14" i="10"/>
  <c r="B51" i="12"/>
  <c r="B13" i="10"/>
  <c r="B50" i="12"/>
  <c r="B12" i="10"/>
  <c r="B25" i="9" s="1" a="1"/>
  <c r="B44" i="12"/>
  <c r="D10" i="10"/>
  <c r="B43" i="12"/>
  <c r="D9" i="10"/>
  <c r="B42" i="12"/>
  <c r="D8" i="10"/>
  <c r="B41" i="12"/>
  <c r="D7" i="10"/>
  <c r="B40" i="12"/>
  <c r="C10" i="10"/>
  <c r="B39" i="12"/>
  <c r="C9" i="10"/>
  <c r="B38" i="12"/>
  <c r="C8" i="10"/>
  <c r="B15" i="9" s="1" a="1"/>
  <c r="B4" i="12"/>
  <c r="B2" i="10"/>
  <c r="B211" i="12"/>
  <c r="B42" i="10"/>
  <c r="G40" i="10"/>
  <c r="B197" i="12"/>
  <c r="G39" i="10"/>
  <c r="B196" i="12"/>
  <c r="G38" i="10"/>
  <c r="B195" i="12"/>
  <c r="G37" i="10"/>
  <c r="B85" i="9" s="1" a="1"/>
  <c r="B194" i="12"/>
  <c r="F40" i="10"/>
  <c r="B193" i="12"/>
  <c r="F39" i="10"/>
  <c r="B192" i="12"/>
  <c r="F38" i="10"/>
  <c r="B191" i="12"/>
  <c r="F37" i="10"/>
  <c r="B84" i="9" s="1" a="1"/>
  <c r="B190" i="12"/>
  <c r="E40" i="10"/>
  <c r="B189" i="12"/>
  <c r="E39" i="10"/>
  <c r="B188" i="12"/>
  <c r="E38" i="10"/>
  <c r="B187" i="12"/>
  <c r="E37" i="10"/>
  <c r="B186" i="12"/>
  <c r="D40" i="10"/>
  <c r="B185" i="12"/>
  <c r="D39" i="10"/>
  <c r="B184" i="12"/>
  <c r="D38" i="10"/>
  <c r="B183" i="12"/>
  <c r="D37" i="10"/>
  <c r="B82" i="9" s="1" a="1"/>
  <c r="B182" i="12"/>
  <c r="C40" i="10"/>
  <c r="B181" i="12"/>
  <c r="C39" i="10"/>
  <c r="B180" i="12"/>
  <c r="C38" i="10"/>
  <c r="B179" i="12"/>
  <c r="C37" i="10"/>
  <c r="B81" i="9" s="1" a="1"/>
  <c r="B178" i="12"/>
  <c r="B40" i="10"/>
  <c r="B177" i="12"/>
  <c r="B39" i="10"/>
  <c r="B176" i="12"/>
  <c r="B38" i="10"/>
  <c r="B175" i="12"/>
  <c r="B37" i="10"/>
  <c r="B80" i="9" s="1" a="1"/>
  <c r="B174" i="12"/>
  <c r="G35" i="10"/>
  <c r="B168" i="12"/>
  <c r="G34" i="10"/>
  <c r="B167" i="12"/>
  <c r="G33" i="10"/>
  <c r="B166" i="12"/>
  <c r="G32" i="10"/>
  <c r="B165" i="12"/>
  <c r="F35" i="10"/>
  <c r="B164" i="12"/>
  <c r="F34" i="10"/>
  <c r="B163" i="12"/>
  <c r="F33" i="10"/>
  <c r="B162" i="12"/>
  <c r="F32" i="10"/>
  <c r="B73" i="9" s="1" a="1"/>
  <c r="B161" i="12"/>
  <c r="E35" i="10"/>
  <c r="B160" i="12"/>
  <c r="E34" i="10"/>
  <c r="B159" i="12"/>
  <c r="E33" i="10"/>
  <c r="B158" i="12"/>
  <c r="E32" i="10"/>
  <c r="B157" i="12"/>
  <c r="D35" i="10"/>
  <c r="B156" i="12"/>
  <c r="D34" i="10"/>
  <c r="B155" i="12"/>
  <c r="D33" i="10"/>
  <c r="B154" i="12"/>
  <c r="D32" i="10"/>
  <c r="B71" i="9" s="1" a="1"/>
  <c r="B153" i="12"/>
  <c r="C35" i="10"/>
  <c r="B152" i="12"/>
  <c r="C34" i="10"/>
  <c r="B151" i="12"/>
  <c r="C33" i="10"/>
  <c r="B150" i="12"/>
  <c r="C32" i="10"/>
  <c r="B70" i="9" s="1" a="1"/>
  <c r="B149" i="12"/>
  <c r="B35" i="10"/>
  <c r="B148" i="12"/>
  <c r="B34" i="10"/>
  <c r="B147" i="12"/>
  <c r="B33" i="10"/>
  <c r="B146" i="12"/>
  <c r="B32" i="10"/>
  <c r="B145" i="12"/>
  <c r="G25" i="10"/>
  <c r="B139" i="12"/>
  <c r="G24" i="10"/>
  <c r="B138" i="12"/>
  <c r="G23" i="10"/>
  <c r="B137" i="12"/>
  <c r="G22" i="10"/>
  <c r="B52" i="9" s="1" a="1"/>
  <c r="B136" i="12"/>
  <c r="F25" i="10"/>
  <c r="B135" i="12"/>
  <c r="F24" i="10"/>
  <c r="B134" i="12"/>
  <c r="F23" i="10"/>
  <c r="B133" i="12"/>
  <c r="F22" i="10"/>
  <c r="B51" i="9" s="1" a="1"/>
  <c r="B132" i="12"/>
  <c r="E25" i="10"/>
  <c r="B131" i="12"/>
  <c r="E24" i="10"/>
  <c r="B130" i="12"/>
  <c r="E23" i="10"/>
  <c r="B129" i="12"/>
  <c r="E22" i="10"/>
  <c r="B50" i="9" s="1" a="1"/>
  <c r="B128" i="12"/>
  <c r="D25" i="10"/>
  <c r="B127" i="12"/>
  <c r="D24" i="10"/>
  <c r="B126" i="12"/>
  <c r="D23" i="10"/>
  <c r="B125" i="12"/>
  <c r="D22" i="10"/>
  <c r="B124" i="12"/>
  <c r="C25" i="10"/>
  <c r="B123" i="12"/>
  <c r="C24" i="10"/>
  <c r="B122" i="12"/>
  <c r="C23" i="10"/>
  <c r="B121" i="12"/>
  <c r="C22" i="10"/>
  <c r="B48" i="9" s="1" a="1"/>
  <c r="B120" i="12"/>
  <c r="B25" i="10"/>
  <c r="B119" i="12"/>
  <c r="B24" i="10"/>
  <c r="B118" i="12"/>
  <c r="B23" i="10"/>
  <c r="B117" i="12"/>
  <c r="B22" i="10"/>
  <c r="B47" i="9" s="1" a="1"/>
  <c r="B116" i="12"/>
  <c r="G20" i="10"/>
  <c r="B110" i="12"/>
  <c r="G19" i="10"/>
  <c r="B109" i="12"/>
  <c r="G18" i="10"/>
  <c r="B108" i="12"/>
  <c r="G17" i="10"/>
  <c r="B41" i="9" s="1" a="1"/>
  <c r="B107" i="12"/>
  <c r="F20" i="10"/>
  <c r="B106" i="12"/>
  <c r="F19" i="10"/>
  <c r="B105" i="12"/>
  <c r="F18" i="10"/>
  <c r="B104" i="12"/>
  <c r="F17" i="10"/>
  <c r="B103" i="12"/>
  <c r="E20" i="10"/>
  <c r="B102" i="12"/>
  <c r="E19" i="10"/>
  <c r="B101" i="12"/>
  <c r="E18" i="10"/>
  <c r="B100" i="12"/>
  <c r="E17" i="10"/>
  <c r="B39" i="9" s="1" a="1"/>
  <c r="B99" i="12"/>
  <c r="D20" i="10"/>
  <c r="B98" i="12"/>
  <c r="D19" i="10"/>
  <c r="B97" i="12"/>
  <c r="D18" i="10"/>
  <c r="B96" i="12"/>
  <c r="D17" i="10"/>
  <c r="B95" i="12"/>
  <c r="C20" i="10"/>
  <c r="B94" i="12"/>
  <c r="C19" i="10"/>
  <c r="B93" i="12"/>
  <c r="C18" i="10"/>
  <c r="B92" i="12"/>
  <c r="C17" i="10"/>
  <c r="B37" i="9" s="1" a="1"/>
  <c r="B91" i="12"/>
  <c r="B20" i="10"/>
  <c r="B90" i="12"/>
  <c r="B19" i="10"/>
  <c r="B89" i="12"/>
  <c r="B18" i="10"/>
  <c r="B88" i="12"/>
  <c r="B17" i="10"/>
  <c r="B36" i="9" s="1" a="1"/>
  <c r="B87" i="12"/>
  <c r="I15" i="10"/>
  <c r="B81" i="12"/>
  <c r="I14" i="10"/>
  <c r="B80" i="12"/>
  <c r="I13" i="10"/>
  <c r="B79" i="12"/>
  <c r="I12" i="10"/>
  <c r="B78" i="12"/>
  <c r="H15" i="10"/>
  <c r="B77" i="12"/>
  <c r="H14" i="10"/>
  <c r="B76" i="12"/>
  <c r="H13" i="10"/>
  <c r="B75" i="12"/>
  <c r="H12" i="10"/>
  <c r="B74" i="12"/>
  <c r="G15" i="10"/>
  <c r="B73" i="12"/>
  <c r="G14" i="10"/>
  <c r="B72" i="12"/>
  <c r="G13" i="10"/>
  <c r="B71" i="12"/>
  <c r="G12" i="10"/>
  <c r="B30" i="9" s="1" a="1"/>
  <c r="B70" i="12"/>
  <c r="B8" i="10"/>
  <c r="B14" i="9" s="1" a="1"/>
  <c r="B34" i="12"/>
  <c r="G5" i="10"/>
  <c r="B27" i="12"/>
  <c r="G4" i="10"/>
  <c r="B26" i="12"/>
  <c r="G3" i="10"/>
  <c r="B25" i="12"/>
  <c r="G2" i="10"/>
  <c r="B8" i="9" s="1" a="1"/>
  <c r="B24" i="12"/>
  <c r="F5" i="10"/>
  <c r="B23" i="12"/>
  <c r="F4" i="10"/>
  <c r="B22" i="12"/>
  <c r="F3" i="10"/>
  <c r="B21" i="12"/>
  <c r="F2" i="10"/>
  <c r="B20" i="12"/>
  <c r="E5" i="10"/>
  <c r="B19" i="12"/>
  <c r="E4" i="10"/>
  <c r="B18" i="12"/>
  <c r="E3" i="10"/>
  <c r="B17" i="12"/>
  <c r="E2" i="10"/>
  <c r="B16" i="12"/>
  <c r="D5" i="10"/>
  <c r="B15" i="12"/>
  <c r="D4" i="10"/>
  <c r="B14" i="12"/>
  <c r="D3" i="10"/>
  <c r="B13" i="12"/>
  <c r="D2" i="10"/>
  <c r="B12" i="12"/>
  <c r="C5" i="10"/>
  <c r="B11" i="12"/>
  <c r="C4" i="10"/>
  <c r="B10" i="12"/>
  <c r="C3" i="10"/>
  <c r="B9" i="12"/>
  <c r="C2" i="10"/>
  <c r="B4" i="9" s="1" a="1"/>
  <c r="I3" i="9" s="1"/>
  <c r="T14" i="8" s="1"/>
  <c r="B8" i="12"/>
  <c r="B5" i="10"/>
  <c r="B7" i="12"/>
  <c r="B4" i="10"/>
  <c r="B6" i="12"/>
  <c r="B3" i="10"/>
  <c r="B5" i="12"/>
  <c r="E276" i="8"/>
  <c r="E257" i="8"/>
  <c r="C5" i="8"/>
  <c r="D4" i="8"/>
  <c r="D5" i="8" s="1"/>
  <c r="C6" i="8" s="1"/>
  <c r="C80" i="8"/>
  <c r="D79" i="8"/>
  <c r="D80" i="8" s="1"/>
  <c r="C81" i="8" s="1"/>
  <c r="C143" i="8"/>
  <c r="D142" i="8"/>
  <c r="D143" i="8" s="1"/>
  <c r="C144" i="8" s="1"/>
  <c r="C145" i="8" s="1"/>
  <c r="C192" i="8"/>
  <c r="D191" i="8"/>
  <c r="D192" i="8" s="1"/>
  <c r="C193" i="8" s="1"/>
  <c r="C242" i="8"/>
  <c r="C243" i="8" s="1"/>
  <c r="D241" i="8"/>
  <c r="D242" i="8" s="1"/>
  <c r="D243" i="8" s="1"/>
  <c r="C244" i="8" s="1"/>
  <c r="D144" i="8"/>
  <c r="D145" i="8" s="1"/>
  <c r="C146" i="8" s="1"/>
  <c r="B5" i="9" a="1"/>
  <c r="B60" i="9" a="1"/>
  <c r="B58" i="9" a="1"/>
  <c r="B59" i="9" a="1"/>
  <c r="B94" i="9" a="1"/>
  <c r="B95" i="9" a="1"/>
  <c r="B96" i="9" a="1"/>
  <c r="B93" i="9" a="1"/>
  <c r="B83" i="5"/>
  <c r="G83" i="5"/>
  <c r="I77" i="5"/>
  <c r="I76" i="5"/>
  <c r="C71" i="5"/>
  <c r="F77" i="5"/>
  <c r="F76" i="5"/>
  <c r="B76" i="5"/>
  <c r="C73" i="5"/>
  <c r="G77" i="5"/>
  <c r="G76" i="5"/>
  <c r="H70" i="5"/>
  <c r="H77" i="5" s="1"/>
  <c r="H76" i="5"/>
  <c r="C44" i="5"/>
  <c r="I82" i="5" s="1"/>
  <c r="I84" i="5" s="1"/>
  <c r="I85" i="5" s="1"/>
  <c r="C43" i="5"/>
  <c r="H82" i="5" s="1"/>
  <c r="C42" i="5"/>
  <c r="G82" i="5" s="1"/>
  <c r="C40" i="5"/>
  <c r="F82" i="5" s="1"/>
  <c r="C20" i="5"/>
  <c r="E82" i="5" s="1"/>
  <c r="C19" i="5"/>
  <c r="D82" i="5" s="1"/>
  <c r="C18" i="5"/>
  <c r="C82" i="5" s="1"/>
  <c r="C17" i="5"/>
  <c r="G4" i="5"/>
  <c r="E5" i="5"/>
  <c r="B19" i="1"/>
  <c r="B26" i="1"/>
  <c r="E7" i="1"/>
  <c r="F6" i="1"/>
  <c r="B32" i="9" l="1" a="1"/>
  <c r="B7" i="9" a="1"/>
  <c r="B69" i="9" a="1"/>
  <c r="B83" i="9" a="1"/>
  <c r="B16" i="9" a="1"/>
  <c r="B3" i="9" a="1"/>
  <c r="B74" i="9" a="1"/>
  <c r="B49" i="9" a="1"/>
  <c r="B40" i="9" a="1"/>
  <c r="B72" i="9" a="1"/>
  <c r="B38" i="9" a="1"/>
  <c r="B31" i="9" a="1"/>
  <c r="B6" i="9" a="1"/>
  <c r="B91" i="9" a="1"/>
  <c r="H48" i="9"/>
  <c r="B47" i="9"/>
  <c r="H47" i="9" s="1"/>
  <c r="S201" i="8" s="1"/>
  <c r="I7" i="9"/>
  <c r="T42" i="8" s="1"/>
  <c r="B8" i="9"/>
  <c r="T31" i="8"/>
  <c r="S33" i="8"/>
  <c r="T33" i="8"/>
  <c r="T35" i="8"/>
  <c r="S37" i="8"/>
  <c r="T37" i="8"/>
  <c r="T39" i="8"/>
  <c r="S41" i="8"/>
  <c r="T41" i="8"/>
  <c r="B7" i="9"/>
  <c r="H8" i="9"/>
  <c r="B15" i="9"/>
  <c r="H15" i="9" s="1"/>
  <c r="S72" i="8" s="1"/>
  <c r="I16" i="9"/>
  <c r="T73" i="8" s="1"/>
  <c r="H6" i="9"/>
  <c r="B5" i="9"/>
  <c r="C7" i="8"/>
  <c r="D6" i="8"/>
  <c r="D7" i="8" s="1"/>
  <c r="C8" i="8" s="1"/>
  <c r="D81" i="8"/>
  <c r="D82" i="8" s="1"/>
  <c r="C83" i="8" s="1"/>
  <c r="C84" i="8" s="1"/>
  <c r="C82" i="8"/>
  <c r="C9" i="8"/>
  <c r="D8" i="8"/>
  <c r="D9" i="8" s="1"/>
  <c r="C10" i="8" s="1"/>
  <c r="D83" i="8"/>
  <c r="D84" i="8" s="1"/>
  <c r="C85" i="8" s="1"/>
  <c r="C194" i="8"/>
  <c r="D193" i="8"/>
  <c r="D194" i="8" s="1"/>
  <c r="C195" i="8" s="1"/>
  <c r="C245" i="8"/>
  <c r="C246" i="8" s="1"/>
  <c r="D244" i="8"/>
  <c r="D245" i="8" s="1"/>
  <c r="D246" i="8" s="1"/>
  <c r="C247" i="8" s="1"/>
  <c r="S4" i="8"/>
  <c r="T2" i="8"/>
  <c r="S12" i="8"/>
  <c r="H4" i="9"/>
  <c r="B3" i="9"/>
  <c r="T12" i="8"/>
  <c r="H12" i="8" s="1"/>
  <c r="T10" i="8"/>
  <c r="T8" i="8"/>
  <c r="S8" i="8"/>
  <c r="H8" i="8" s="1"/>
  <c r="T6" i="8"/>
  <c r="T4" i="8"/>
  <c r="H5" i="8"/>
  <c r="H4" i="8"/>
  <c r="B4" i="9"/>
  <c r="T3" i="8"/>
  <c r="S5" i="8"/>
  <c r="T5" i="8"/>
  <c r="T7" i="8"/>
  <c r="S9" i="8"/>
  <c r="T9" i="8"/>
  <c r="T11" i="8"/>
  <c r="S13" i="8"/>
  <c r="T13" i="8"/>
  <c r="T30" i="8"/>
  <c r="S32" i="8"/>
  <c r="T32" i="8"/>
  <c r="T34" i="8"/>
  <c r="S36" i="8"/>
  <c r="T36" i="8"/>
  <c r="T38" i="8"/>
  <c r="S40" i="8"/>
  <c r="T40" i="8"/>
  <c r="T66" i="8"/>
  <c r="S67" i="8"/>
  <c r="T68" i="8"/>
  <c r="T69" i="8"/>
  <c r="T70" i="8"/>
  <c r="S71" i="8"/>
  <c r="T67" i="8"/>
  <c r="S69" i="8"/>
  <c r="T71" i="8"/>
  <c r="S18" i="8"/>
  <c r="T24" i="8"/>
  <c r="T20" i="8"/>
  <c r="S26" i="8"/>
  <c r="S22" i="8"/>
  <c r="T16" i="8"/>
  <c r="T22" i="8"/>
  <c r="T18" i="8"/>
  <c r="T26" i="8"/>
  <c r="T83" i="8"/>
  <c r="T85" i="8"/>
  <c r="S83" i="8"/>
  <c r="H83" i="8" s="1"/>
  <c r="T87" i="8"/>
  <c r="T79" i="8"/>
  <c r="T81" i="8"/>
  <c r="S79" i="8"/>
  <c r="H79" i="8" s="1"/>
  <c r="T77" i="8"/>
  <c r="S87" i="8"/>
  <c r="T88" i="8"/>
  <c r="T86" i="8"/>
  <c r="T84" i="8"/>
  <c r="S80" i="8"/>
  <c r="T80" i="8"/>
  <c r="S84" i="8"/>
  <c r="H84" i="8" s="1"/>
  <c r="T82" i="8"/>
  <c r="S88" i="8"/>
  <c r="H88" i="8" s="1"/>
  <c r="T78" i="8"/>
  <c r="S101" i="8"/>
  <c r="T97" i="8"/>
  <c r="T95" i="8"/>
  <c r="T91" i="8"/>
  <c r="T99" i="8"/>
  <c r="T101" i="8"/>
  <c r="T93" i="8"/>
  <c r="S93" i="8"/>
  <c r="H93" i="8" s="1"/>
  <c r="S97" i="8"/>
  <c r="H97" i="8" s="1"/>
  <c r="T100" i="8"/>
  <c r="T102" i="8"/>
  <c r="T98" i="8"/>
  <c r="T96" i="8"/>
  <c r="S98" i="8"/>
  <c r="H98" i="8" s="1"/>
  <c r="S102" i="8"/>
  <c r="T92" i="8"/>
  <c r="S94" i="8"/>
  <c r="T94" i="8"/>
  <c r="T107" i="8"/>
  <c r="S115" i="8"/>
  <c r="T111" i="8"/>
  <c r="T109" i="8"/>
  <c r="S107" i="8"/>
  <c r="T113" i="8"/>
  <c r="T105" i="8"/>
  <c r="T115" i="8"/>
  <c r="S111" i="8"/>
  <c r="T110" i="8"/>
  <c r="T112" i="8"/>
  <c r="T114" i="8"/>
  <c r="T116" i="8"/>
  <c r="S116" i="8"/>
  <c r="H116" i="8" s="1"/>
  <c r="S112" i="8"/>
  <c r="H112" i="8" s="1"/>
  <c r="S108" i="8"/>
  <c r="T106" i="8"/>
  <c r="T108" i="8"/>
  <c r="T124" i="8"/>
  <c r="T120" i="8"/>
  <c r="T122" i="8"/>
  <c r="S126" i="8"/>
  <c r="T126" i="8"/>
  <c r="T128" i="8"/>
  <c r="S130" i="8"/>
  <c r="S122" i="8"/>
  <c r="H122" i="8" s="1"/>
  <c r="T130" i="8"/>
  <c r="T146" i="8"/>
  <c r="S150" i="8"/>
  <c r="T150" i="8"/>
  <c r="S146" i="8"/>
  <c r="H146" i="8" s="1"/>
  <c r="T148" i="8"/>
  <c r="T140" i="8"/>
  <c r="T142" i="8"/>
  <c r="T144" i="8"/>
  <c r="S142" i="8"/>
  <c r="H142" i="8" s="1"/>
  <c r="T145" i="8"/>
  <c r="S147" i="8"/>
  <c r="T149" i="8"/>
  <c r="T151" i="8"/>
  <c r="S151" i="8"/>
  <c r="T147" i="8"/>
  <c r="S143" i="8"/>
  <c r="T141" i="8"/>
  <c r="T143" i="8"/>
  <c r="T155" i="8"/>
  <c r="S157" i="8"/>
  <c r="S161" i="8"/>
  <c r="T159" i="8"/>
  <c r="T165" i="8"/>
  <c r="T161" i="8"/>
  <c r="T157" i="8"/>
  <c r="S165" i="8"/>
  <c r="H165" i="8" s="1"/>
  <c r="T163" i="8"/>
  <c r="S171" i="8"/>
  <c r="T171" i="8"/>
  <c r="T177" i="8"/>
  <c r="T175" i="8"/>
  <c r="T169" i="8"/>
  <c r="S179" i="8"/>
  <c r="S175" i="8"/>
  <c r="H175" i="8" s="1"/>
  <c r="T179" i="8"/>
  <c r="T173" i="8"/>
  <c r="T199" i="8"/>
  <c r="T197" i="8"/>
  <c r="S195" i="8"/>
  <c r="S191" i="8"/>
  <c r="T191" i="8"/>
  <c r="T189" i="8"/>
  <c r="T195" i="8"/>
  <c r="T193" i="8"/>
  <c r="S199" i="8"/>
  <c r="H199" i="8" s="1"/>
  <c r="T200" i="8"/>
  <c r="S196" i="8"/>
  <c r="T194" i="8"/>
  <c r="T192" i="8"/>
  <c r="T190" i="8"/>
  <c r="S192" i="8"/>
  <c r="H192" i="8" s="1"/>
  <c r="T198" i="8"/>
  <c r="T196" i="8"/>
  <c r="S200" i="8"/>
  <c r="H200" i="8" s="1"/>
  <c r="T58" i="8"/>
  <c r="S62" i="8"/>
  <c r="T60" i="8"/>
  <c r="T52" i="8"/>
  <c r="S58" i="8"/>
  <c r="H58" i="8" s="1"/>
  <c r="T56" i="8"/>
  <c r="T54" i="8"/>
  <c r="S54" i="8"/>
  <c r="H54" i="8" s="1"/>
  <c r="T62" i="8"/>
  <c r="T255" i="8"/>
  <c r="S255" i="8"/>
  <c r="T249" i="8"/>
  <c r="T252" i="8"/>
  <c r="T240" i="8"/>
  <c r="S249" i="8"/>
  <c r="H249" i="8" s="1"/>
  <c r="S243" i="8"/>
  <c r="T243" i="8"/>
  <c r="T246" i="8"/>
  <c r="S227" i="8"/>
  <c r="T225" i="8"/>
  <c r="T223" i="8"/>
  <c r="T219" i="8"/>
  <c r="T227" i="8"/>
  <c r="T217" i="8"/>
  <c r="S223" i="8"/>
  <c r="H223" i="8" s="1"/>
  <c r="T221" i="8"/>
  <c r="S219" i="8"/>
  <c r="H219" i="8" s="1"/>
  <c r="T226" i="8"/>
  <c r="T228" i="8"/>
  <c r="T222" i="8"/>
  <c r="T224" i="8"/>
  <c r="S228" i="8"/>
  <c r="H228" i="8" s="1"/>
  <c r="T218" i="8"/>
  <c r="S220" i="8"/>
  <c r="T220" i="8"/>
  <c r="S224" i="8"/>
  <c r="H224" i="8" s="1"/>
  <c r="T247" i="8"/>
  <c r="T238" i="8"/>
  <c r="T244" i="8"/>
  <c r="T250" i="8"/>
  <c r="S253" i="8"/>
  <c r="T253" i="8"/>
  <c r="S247" i="8"/>
  <c r="H247" i="8" s="1"/>
  <c r="T241" i="8"/>
  <c r="S241" i="8"/>
  <c r="H241" i="8" s="1"/>
  <c r="T210" i="8"/>
  <c r="T206" i="8"/>
  <c r="T204" i="8"/>
  <c r="S206" i="8"/>
  <c r="H206" i="8" s="1"/>
  <c r="T208" i="8"/>
  <c r="S210" i="8"/>
  <c r="T212" i="8"/>
  <c r="S214" i="8"/>
  <c r="T214" i="8"/>
  <c r="T248" i="8"/>
  <c r="T254" i="8"/>
  <c r="T239" i="8"/>
  <c r="T245" i="8"/>
  <c r="S248" i="8"/>
  <c r="T242" i="8"/>
  <c r="T251" i="8"/>
  <c r="S254" i="8"/>
  <c r="S242" i="8"/>
  <c r="T270" i="8"/>
  <c r="T275" i="8"/>
  <c r="T267" i="8"/>
  <c r="S270" i="8"/>
  <c r="H270" i="8" s="1"/>
  <c r="T272" i="8"/>
  <c r="S272" i="8"/>
  <c r="H272" i="8" s="1"/>
  <c r="T274" i="8"/>
  <c r="S275" i="8"/>
  <c r="H275" i="8" s="1"/>
  <c r="T271" i="8"/>
  <c r="T279" i="8"/>
  <c r="T280" i="8"/>
  <c r="S280" i="8"/>
  <c r="H280" i="8" s="1"/>
  <c r="S283" i="8"/>
  <c r="T283" i="8"/>
  <c r="S290" i="8"/>
  <c r="T287" i="8"/>
  <c r="T282" i="8"/>
  <c r="T290" i="8"/>
  <c r="S401" i="8"/>
  <c r="T397" i="8"/>
  <c r="S396" i="8"/>
  <c r="T393" i="8"/>
  <c r="S398" i="8"/>
  <c r="T398" i="8"/>
  <c r="T400" i="8"/>
  <c r="T396" i="8"/>
  <c r="T401" i="8"/>
  <c r="T405" i="8"/>
  <c r="S416" i="8"/>
  <c r="T416" i="8"/>
  <c r="T413" i="8"/>
  <c r="T409" i="8"/>
  <c r="T408" i="8"/>
  <c r="S406" i="8"/>
  <c r="T406" i="8"/>
  <c r="S409" i="8"/>
  <c r="T411" i="8"/>
  <c r="T412" i="8"/>
  <c r="T414" i="8"/>
  <c r="T415" i="8"/>
  <c r="S415" i="8"/>
  <c r="H415" i="8" s="1"/>
  <c r="T407" i="8"/>
  <c r="T410" i="8"/>
  <c r="S410" i="8"/>
  <c r="H410" i="8" s="1"/>
  <c r="S412" i="8"/>
  <c r="H412" i="8" s="1"/>
  <c r="S304" i="8"/>
  <c r="T304" i="8"/>
  <c r="T297" i="8"/>
  <c r="T294" i="8"/>
  <c r="T296" i="8"/>
  <c r="T301" i="8"/>
  <c r="T293" i="8"/>
  <c r="S294" i="8"/>
  <c r="H294" i="8" s="1"/>
  <c r="S297" i="8"/>
  <c r="H297" i="8" s="1"/>
  <c r="T325" i="8"/>
  <c r="T322" i="8"/>
  <c r="S315" i="8"/>
  <c r="T314" i="8"/>
  <c r="T318" i="8"/>
  <c r="T315" i="8"/>
  <c r="S325" i="8"/>
  <c r="H325" i="8" s="1"/>
  <c r="T317" i="8"/>
  <c r="S318" i="8"/>
  <c r="H318" i="8" s="1"/>
  <c r="T319" i="8"/>
  <c r="T316" i="8"/>
  <c r="T320" i="8"/>
  <c r="S321" i="8"/>
  <c r="S319" i="8"/>
  <c r="H319" i="8" s="1"/>
  <c r="T324" i="8"/>
  <c r="T321" i="8"/>
  <c r="S324" i="8"/>
  <c r="H324" i="8" s="1"/>
  <c r="T323" i="8"/>
  <c r="S329" i="8"/>
  <c r="T328" i="8"/>
  <c r="T329" i="8"/>
  <c r="T331" i="8"/>
  <c r="T332" i="8"/>
  <c r="T336" i="8"/>
  <c r="S339" i="8"/>
  <c r="S332" i="8"/>
  <c r="H332" i="8" s="1"/>
  <c r="T339" i="8"/>
  <c r="S333" i="8"/>
  <c r="S338" i="8"/>
  <c r="T333" i="8"/>
  <c r="T335" i="8"/>
  <c r="S335" i="8"/>
  <c r="H335" i="8" s="1"/>
  <c r="T337" i="8"/>
  <c r="T338" i="8"/>
  <c r="T334" i="8"/>
  <c r="T330" i="8"/>
  <c r="S353" i="8"/>
  <c r="T353" i="8"/>
  <c r="T342" i="8"/>
  <c r="T343" i="8"/>
  <c r="T345" i="8"/>
  <c r="T346" i="8"/>
  <c r="S346" i="8"/>
  <c r="H346" i="8" s="1"/>
  <c r="S343" i="8"/>
  <c r="H343" i="8" s="1"/>
  <c r="T350" i="8"/>
  <c r="T348" i="8"/>
  <c r="T344" i="8"/>
  <c r="S352" i="8"/>
  <c r="S349" i="8"/>
  <c r="S347" i="8"/>
  <c r="T352" i="8"/>
  <c r="T351" i="8"/>
  <c r="T347" i="8"/>
  <c r="T349" i="8"/>
  <c r="T356" i="8"/>
  <c r="T357" i="8"/>
  <c r="T359" i="8"/>
  <c r="T360" i="8"/>
  <c r="S360" i="8"/>
  <c r="H360" i="8" s="1"/>
  <c r="T367" i="8"/>
  <c r="S367" i="8"/>
  <c r="H367" i="8" s="1"/>
  <c r="T364" i="8"/>
  <c r="S357" i="8"/>
  <c r="H357" i="8" s="1"/>
  <c r="S361" i="8"/>
  <c r="T362" i="8"/>
  <c r="T365" i="8"/>
  <c r="T366" i="8"/>
  <c r="S366" i="8"/>
  <c r="H366" i="8" s="1"/>
  <c r="T363" i="8"/>
  <c r="S363" i="8"/>
  <c r="H363" i="8" s="1"/>
  <c r="T358" i="8"/>
  <c r="T361" i="8"/>
  <c r="S392" i="8"/>
  <c r="T395" i="8"/>
  <c r="T392" i="8"/>
  <c r="T394" i="8"/>
  <c r="T391" i="8"/>
  <c r="S402" i="8"/>
  <c r="S395" i="8"/>
  <c r="T399" i="8"/>
  <c r="T402" i="8"/>
  <c r="S387" i="8"/>
  <c r="T387" i="8"/>
  <c r="T379" i="8"/>
  <c r="S382" i="8"/>
  <c r="T382" i="8"/>
  <c r="T383" i="8"/>
  <c r="S384" i="8"/>
  <c r="T386" i="8"/>
  <c r="T384" i="8"/>
  <c r="D146" i="8"/>
  <c r="D147" i="8" s="1"/>
  <c r="C148" i="8" s="1"/>
  <c r="C147" i="8"/>
  <c r="B14" i="9"/>
  <c r="I15" i="9"/>
  <c r="T72" i="8" s="1"/>
  <c r="B36" i="9"/>
  <c r="H36" i="9" s="1"/>
  <c r="S152" i="8" s="1"/>
  <c r="H37" i="9"/>
  <c r="S153" i="8" s="1"/>
  <c r="H26" i="9"/>
  <c r="S90" i="8" s="1"/>
  <c r="B25" i="9"/>
  <c r="I25" i="9"/>
  <c r="T89" i="8" s="1"/>
  <c r="B27" i="9"/>
  <c r="H28" i="9"/>
  <c r="S104" i="8" s="1"/>
  <c r="H30" i="9"/>
  <c r="S118" i="8" s="1"/>
  <c r="B29" i="9"/>
  <c r="B30" i="9"/>
  <c r="I30" i="9" s="1"/>
  <c r="T118" i="8" s="1"/>
  <c r="I29" i="9"/>
  <c r="T117" i="8" s="1"/>
  <c r="B51" i="9"/>
  <c r="H52" i="9"/>
  <c r="S230" i="8" s="1"/>
  <c r="B58" i="9"/>
  <c r="I59" i="9"/>
  <c r="T257" i="8" s="1"/>
  <c r="I60" i="9"/>
  <c r="T258" i="8" s="1"/>
  <c r="B59" i="9"/>
  <c r="B69" i="9"/>
  <c r="I70" i="9"/>
  <c r="T278" i="8" s="1"/>
  <c r="I72" i="9"/>
  <c r="T292" i="8" s="1"/>
  <c r="B71" i="9"/>
  <c r="I74" i="9"/>
  <c r="T306" i="8" s="1"/>
  <c r="B73" i="9"/>
  <c r="H81" i="9"/>
  <c r="S327" i="8" s="1"/>
  <c r="B80" i="9"/>
  <c r="I80" i="9"/>
  <c r="T326" i="8" s="1"/>
  <c r="B81" i="9"/>
  <c r="B26" i="9"/>
  <c r="B28" i="9"/>
  <c r="I27" i="9"/>
  <c r="T103" i="8" s="1"/>
  <c r="B32" i="9"/>
  <c r="I31" i="9"/>
  <c r="T131" i="8" s="1"/>
  <c r="B37" i="9"/>
  <c r="I36" i="9"/>
  <c r="T152" i="8" s="1"/>
  <c r="B39" i="9"/>
  <c r="I38" i="9"/>
  <c r="T166" i="8" s="1"/>
  <c r="B41" i="9"/>
  <c r="I40" i="9"/>
  <c r="T180" i="8" s="1"/>
  <c r="B48" i="9"/>
  <c r="I47" i="9"/>
  <c r="T201" i="8" s="1"/>
  <c r="B60" i="9"/>
  <c r="I58" i="9"/>
  <c r="T256" i="8" s="1"/>
  <c r="B52" i="9"/>
  <c r="I51" i="9"/>
  <c r="T229" i="8" s="1"/>
  <c r="B50" i="9"/>
  <c r="I49" i="9"/>
  <c r="T215" i="8" s="1"/>
  <c r="B70" i="9"/>
  <c r="I69" i="9"/>
  <c r="T277" i="8" s="1"/>
  <c r="H83" i="9"/>
  <c r="S341" i="8" s="1"/>
  <c r="B82" i="9"/>
  <c r="H85" i="9"/>
  <c r="S355" i="8" s="1"/>
  <c r="B84" i="9"/>
  <c r="I84" i="9"/>
  <c r="T354" i="8" s="1"/>
  <c r="I93" i="9"/>
  <c r="T403" i="8" s="1"/>
  <c r="B94" i="9"/>
  <c r="H96" i="9"/>
  <c r="S418" i="8" s="1"/>
  <c r="B95" i="9"/>
  <c r="I95" i="9"/>
  <c r="T417" i="8" s="1"/>
  <c r="B96" i="9"/>
  <c r="B85" i="9"/>
  <c r="B86" i="9"/>
  <c r="H87" i="9"/>
  <c r="S369" i="8" s="1"/>
  <c r="B87" i="9"/>
  <c r="I86" i="9"/>
  <c r="T368" i="8" s="1"/>
  <c r="I91" i="9"/>
  <c r="T389" i="8" s="1"/>
  <c r="H94" i="9"/>
  <c r="S404" i="8" s="1"/>
  <c r="B93" i="9"/>
  <c r="B92" i="9"/>
  <c r="C83" i="5"/>
  <c r="C84" i="5" s="1"/>
  <c r="C85" i="5" s="1"/>
  <c r="C46" i="5"/>
  <c r="B82" i="5"/>
  <c r="B84" i="5" s="1"/>
  <c r="B85" i="5" s="1"/>
  <c r="C21" i="5"/>
  <c r="G84" i="5"/>
  <c r="G85" i="5" s="1"/>
  <c r="C77" i="5"/>
  <c r="B71" i="5"/>
  <c r="C27" i="5" s="1"/>
  <c r="D73" i="5"/>
  <c r="C76" i="5"/>
  <c r="G5" i="5"/>
  <c r="E6" i="5"/>
  <c r="F7" i="1"/>
  <c r="G6" i="1"/>
  <c r="H255" i="8" l="1"/>
  <c r="S266" i="8"/>
  <c r="S269" i="8"/>
  <c r="S276" i="8"/>
  <c r="T265" i="8"/>
  <c r="T266" i="8"/>
  <c r="T268" i="8"/>
  <c r="T269" i="8"/>
  <c r="T273" i="8"/>
  <c r="T276" i="8"/>
  <c r="H69" i="8"/>
  <c r="B83" i="9"/>
  <c r="I83" i="9" s="1"/>
  <c r="T341" i="8" s="1"/>
  <c r="H341" i="8" s="1"/>
  <c r="I82" i="9"/>
  <c r="T340" i="8" s="1"/>
  <c r="I14" i="9"/>
  <c r="T64" i="8" s="1"/>
  <c r="B16" i="9"/>
  <c r="T53" i="8"/>
  <c r="S63" i="8"/>
  <c r="S59" i="8"/>
  <c r="T61" i="8"/>
  <c r="T59" i="8"/>
  <c r="T57" i="8"/>
  <c r="T63" i="8"/>
  <c r="T55" i="8"/>
  <c r="S55" i="8"/>
  <c r="H55" i="8" s="1"/>
  <c r="H210" i="8"/>
  <c r="H151" i="8"/>
  <c r="H201" i="8"/>
  <c r="H107" i="8"/>
  <c r="H111" i="8"/>
  <c r="B74" i="9"/>
  <c r="T300" i="8"/>
  <c r="T295" i="8"/>
  <c r="S300" i="8"/>
  <c r="H300" i="8" s="1"/>
  <c r="T298" i="8"/>
  <c r="S298" i="8"/>
  <c r="H298" i="8" s="1"/>
  <c r="T303" i="8"/>
  <c r="I73" i="9"/>
  <c r="T305" i="8" s="1"/>
  <c r="T299" i="8"/>
  <c r="T302" i="8"/>
  <c r="S303" i="8"/>
  <c r="H303" i="8" s="1"/>
  <c r="T211" i="8"/>
  <c r="S213" i="8"/>
  <c r="S205" i="8"/>
  <c r="T213" i="8"/>
  <c r="S209" i="8"/>
  <c r="T205" i="8"/>
  <c r="B49" i="9"/>
  <c r="T207" i="8"/>
  <c r="T203" i="8"/>
  <c r="T209" i="8"/>
  <c r="H50" i="9"/>
  <c r="S178" i="8"/>
  <c r="T178" i="8"/>
  <c r="B40" i="9"/>
  <c r="T176" i="8"/>
  <c r="S174" i="8"/>
  <c r="T174" i="8"/>
  <c r="S170" i="8"/>
  <c r="H41" i="9"/>
  <c r="T168" i="8"/>
  <c r="T170" i="8"/>
  <c r="T172" i="8"/>
  <c r="T288" i="8"/>
  <c r="T289" i="8"/>
  <c r="T284" i="8"/>
  <c r="S284" i="8"/>
  <c r="H284" i="8" s="1"/>
  <c r="S289" i="8"/>
  <c r="H289" i="8" s="1"/>
  <c r="T286" i="8"/>
  <c r="S286" i="8"/>
  <c r="H286" i="8" s="1"/>
  <c r="T281" i="8"/>
  <c r="T285" i="8"/>
  <c r="T162" i="8"/>
  <c r="S164" i="8"/>
  <c r="T164" i="8"/>
  <c r="T160" i="8"/>
  <c r="T154" i="8"/>
  <c r="S160" i="8"/>
  <c r="H160" i="8" s="1"/>
  <c r="T156" i="8"/>
  <c r="S156" i="8"/>
  <c r="H156" i="8" s="1"/>
  <c r="T158" i="8"/>
  <c r="I5" i="9"/>
  <c r="T28" i="8" s="1"/>
  <c r="S19" i="8"/>
  <c r="S27" i="8"/>
  <c r="T25" i="8"/>
  <c r="T23" i="8"/>
  <c r="S23" i="8"/>
  <c r="H23" i="8" s="1"/>
  <c r="T21" i="8"/>
  <c r="T19" i="8"/>
  <c r="T27" i="8"/>
  <c r="T17" i="8"/>
  <c r="B6" i="9"/>
  <c r="I8" i="9"/>
  <c r="T43" i="8" s="1"/>
  <c r="S31" i="8"/>
  <c r="H31" i="8" s="1"/>
  <c r="S35" i="8"/>
  <c r="H35" i="8" s="1"/>
  <c r="S39" i="8"/>
  <c r="H39" i="8" s="1"/>
  <c r="B72" i="9"/>
  <c r="I71" i="9"/>
  <c r="T291" i="8" s="1"/>
  <c r="B38" i="9"/>
  <c r="H39" i="9"/>
  <c r="T121" i="8"/>
  <c r="T123" i="8"/>
  <c r="S125" i="8"/>
  <c r="T125" i="8"/>
  <c r="T127" i="8"/>
  <c r="S129" i="8"/>
  <c r="T129" i="8"/>
  <c r="T119" i="8"/>
  <c r="S121" i="8"/>
  <c r="H121" i="8" s="1"/>
  <c r="H32" i="9"/>
  <c r="B31" i="9"/>
  <c r="T380" i="8"/>
  <c r="S388" i="8"/>
  <c r="T388" i="8"/>
  <c r="T377" i="8"/>
  <c r="T378" i="8"/>
  <c r="S378" i="8"/>
  <c r="H378" i="8" s="1"/>
  <c r="T381" i="8"/>
  <c r="T385" i="8"/>
  <c r="S381" i="8"/>
  <c r="H381" i="8" s="1"/>
  <c r="S202" i="8"/>
  <c r="L48" i="9"/>
  <c r="S43" i="8"/>
  <c r="M3" i="9"/>
  <c r="T44" i="8" s="1"/>
  <c r="H33" i="8"/>
  <c r="H37" i="8"/>
  <c r="H41" i="8"/>
  <c r="H92" i="9"/>
  <c r="B91" i="9"/>
  <c r="S197" i="8"/>
  <c r="H197" i="8" s="1"/>
  <c r="S193" i="8"/>
  <c r="H193" i="8" s="1"/>
  <c r="S189" i="8"/>
  <c r="H189" i="8" s="1"/>
  <c r="S38" i="8"/>
  <c r="H38" i="8" s="1"/>
  <c r="S34" i="8"/>
  <c r="H34" i="8" s="1"/>
  <c r="S30" i="8"/>
  <c r="H30" i="8" s="1"/>
  <c r="H7" i="9"/>
  <c r="S70" i="8"/>
  <c r="H70" i="8" s="1"/>
  <c r="S68" i="8"/>
  <c r="H68" i="8" s="1"/>
  <c r="S66" i="8"/>
  <c r="H66" i="8" s="1"/>
  <c r="S29" i="8"/>
  <c r="M5" i="9"/>
  <c r="T46" i="8" s="1"/>
  <c r="S20" i="8"/>
  <c r="H20" i="8" s="1"/>
  <c r="S24" i="8"/>
  <c r="H24" i="8" s="1"/>
  <c r="S16" i="8"/>
  <c r="H5" i="9"/>
  <c r="H409" i="8"/>
  <c r="H3" i="9"/>
  <c r="S10" i="8"/>
  <c r="S6" i="8"/>
  <c r="S2" i="8"/>
  <c r="H102" i="8"/>
  <c r="H248" i="8"/>
  <c r="H10" i="8"/>
  <c r="H2" i="8"/>
  <c r="H16" i="8"/>
  <c r="H254" i="8"/>
  <c r="H242" i="8"/>
  <c r="H395" i="8"/>
  <c r="D10" i="8"/>
  <c r="D11" i="8" s="1"/>
  <c r="C12" i="8" s="1"/>
  <c r="C11" i="8"/>
  <c r="C86" i="8"/>
  <c r="D85" i="8"/>
  <c r="D86" i="8" s="1"/>
  <c r="C87" i="8" s="1"/>
  <c r="D195" i="8"/>
  <c r="D196" i="8" s="1"/>
  <c r="C197" i="8" s="1"/>
  <c r="C196" i="8"/>
  <c r="C248" i="8"/>
  <c r="C249" i="8" s="1"/>
  <c r="D247" i="8"/>
  <c r="D248" i="8" s="1"/>
  <c r="D249" i="8" s="1"/>
  <c r="C250" i="8" s="1"/>
  <c r="S15" i="8"/>
  <c r="L4" i="9"/>
  <c r="I8" i="8"/>
  <c r="K8" i="8" s="1"/>
  <c r="J8" i="8"/>
  <c r="J12" i="8"/>
  <c r="I12" i="8"/>
  <c r="K12" i="8" s="1"/>
  <c r="H87" i="8"/>
  <c r="H152" i="8"/>
  <c r="H126" i="8"/>
  <c r="H150" i="8"/>
  <c r="H253" i="8"/>
  <c r="H80" i="8"/>
  <c r="H94" i="8"/>
  <c r="H72" i="8"/>
  <c r="H398" i="8"/>
  <c r="H304" i="8"/>
  <c r="H329" i="8"/>
  <c r="I5" i="8"/>
  <c r="K5" i="8" s="1"/>
  <c r="J5" i="8"/>
  <c r="I4" i="8"/>
  <c r="K4" i="8" s="1"/>
  <c r="J4" i="8"/>
  <c r="S11" i="8"/>
  <c r="H11" i="8" s="1"/>
  <c r="S7" i="8"/>
  <c r="H7" i="8" s="1"/>
  <c r="S3" i="8"/>
  <c r="H3" i="8" s="1"/>
  <c r="I4" i="9"/>
  <c r="T15" i="8" s="1"/>
  <c r="J69" i="8"/>
  <c r="I69" i="8"/>
  <c r="S53" i="8"/>
  <c r="H53" i="8" s="1"/>
  <c r="S57" i="8"/>
  <c r="H57" i="8" s="1"/>
  <c r="S61" i="8"/>
  <c r="H61" i="8" s="1"/>
  <c r="H16" i="9"/>
  <c r="J55" i="8"/>
  <c r="I55" i="8"/>
  <c r="I83" i="8"/>
  <c r="J83" i="8"/>
  <c r="I79" i="8"/>
  <c r="J79" i="8"/>
  <c r="I84" i="8"/>
  <c r="J84" i="8"/>
  <c r="I88" i="8"/>
  <c r="J88" i="8"/>
  <c r="I93" i="8"/>
  <c r="J93" i="8"/>
  <c r="K93" i="8" s="1"/>
  <c r="I97" i="8"/>
  <c r="J97" i="8"/>
  <c r="K97" i="8" s="1"/>
  <c r="J98" i="8"/>
  <c r="I98" i="8"/>
  <c r="I116" i="8"/>
  <c r="J116" i="8"/>
  <c r="I112" i="8"/>
  <c r="J112" i="8"/>
  <c r="I122" i="8"/>
  <c r="J122" i="8"/>
  <c r="J58" i="8"/>
  <c r="I58" i="8"/>
  <c r="I54" i="8"/>
  <c r="J54" i="8"/>
  <c r="H101" i="8"/>
  <c r="H143" i="8"/>
  <c r="H195" i="8"/>
  <c r="H191" i="8"/>
  <c r="H243" i="8"/>
  <c r="H227" i="8"/>
  <c r="H220" i="8"/>
  <c r="H276" i="8"/>
  <c r="H283" i="8"/>
  <c r="H290" i="8"/>
  <c r="H315" i="8"/>
  <c r="H321" i="8"/>
  <c r="H339" i="8"/>
  <c r="H347" i="8"/>
  <c r="H361" i="8"/>
  <c r="H392" i="8"/>
  <c r="H402" i="8"/>
  <c r="H387" i="8"/>
  <c r="H382" i="8"/>
  <c r="H384" i="8"/>
  <c r="H6" i="8"/>
  <c r="H9" i="8"/>
  <c r="H13" i="8"/>
  <c r="H32" i="8"/>
  <c r="H36" i="8"/>
  <c r="H40" i="8"/>
  <c r="H67" i="8"/>
  <c r="H71" i="8"/>
  <c r="H63" i="8"/>
  <c r="H59" i="8"/>
  <c r="H18" i="8"/>
  <c r="H26" i="8"/>
  <c r="H22" i="8"/>
  <c r="H115" i="8"/>
  <c r="H108" i="8"/>
  <c r="H130" i="8"/>
  <c r="H147" i="8"/>
  <c r="H157" i="8"/>
  <c r="H161" i="8"/>
  <c r="H171" i="8"/>
  <c r="H179" i="8"/>
  <c r="H196" i="8"/>
  <c r="H62" i="8"/>
  <c r="H214" i="8"/>
  <c r="H266" i="8"/>
  <c r="H269" i="8"/>
  <c r="H401" i="8"/>
  <c r="H396" i="8"/>
  <c r="H416" i="8"/>
  <c r="H406" i="8"/>
  <c r="H333" i="8"/>
  <c r="H338" i="8"/>
  <c r="H353" i="8"/>
  <c r="H352" i="8"/>
  <c r="H349" i="8"/>
  <c r="S60" i="8"/>
  <c r="H60" i="8" s="1"/>
  <c r="S52" i="8"/>
  <c r="H52" i="8" s="1"/>
  <c r="S56" i="8"/>
  <c r="H56" i="8" s="1"/>
  <c r="S140" i="8"/>
  <c r="H140" i="8" s="1"/>
  <c r="S144" i="8"/>
  <c r="H144" i="8" s="1"/>
  <c r="S148" i="8"/>
  <c r="H148" i="8" s="1"/>
  <c r="S85" i="8"/>
  <c r="H85" i="8" s="1"/>
  <c r="S77" i="8"/>
  <c r="H77" i="8" s="1"/>
  <c r="S81" i="8"/>
  <c r="H81" i="8" s="1"/>
  <c r="S91" i="8"/>
  <c r="H91" i="8" s="1"/>
  <c r="S95" i="8"/>
  <c r="H95" i="8" s="1"/>
  <c r="S99" i="8"/>
  <c r="H99" i="8" s="1"/>
  <c r="S105" i="8"/>
  <c r="H105" i="8" s="1"/>
  <c r="S109" i="8"/>
  <c r="H109" i="8" s="1"/>
  <c r="S113" i="8"/>
  <c r="H113" i="8" s="1"/>
  <c r="S110" i="8"/>
  <c r="H110" i="8" s="1"/>
  <c r="S106" i="8"/>
  <c r="H106" i="8" s="1"/>
  <c r="S114" i="8"/>
  <c r="H114" i="8" s="1"/>
  <c r="S225" i="8"/>
  <c r="H225" i="8" s="1"/>
  <c r="S217" i="8"/>
  <c r="H217" i="8" s="1"/>
  <c r="S221" i="8"/>
  <c r="H221" i="8" s="1"/>
  <c r="S238" i="8"/>
  <c r="H238" i="8" s="1"/>
  <c r="S244" i="8"/>
  <c r="H244" i="8" s="1"/>
  <c r="S250" i="8"/>
  <c r="H250" i="8" s="1"/>
  <c r="S239" i="8"/>
  <c r="H239" i="8" s="1"/>
  <c r="S245" i="8"/>
  <c r="H245" i="8" s="1"/>
  <c r="S251" i="8"/>
  <c r="H251" i="8" s="1"/>
  <c r="S265" i="8"/>
  <c r="H265" i="8" s="1"/>
  <c r="O265" i="8" s="1"/>
  <c r="S268" i="8"/>
  <c r="H268" i="8" s="1"/>
  <c r="S273" i="8"/>
  <c r="H273" i="8" s="1"/>
  <c r="S279" i="8"/>
  <c r="H279" i="8" s="1"/>
  <c r="S282" i="8"/>
  <c r="H282" i="8" s="1"/>
  <c r="S287" i="8"/>
  <c r="H287" i="8" s="1"/>
  <c r="S296" i="8"/>
  <c r="H296" i="8" s="1"/>
  <c r="S293" i="8"/>
  <c r="H293" i="8" s="1"/>
  <c r="S301" i="8"/>
  <c r="H301" i="8" s="1"/>
  <c r="S322" i="8"/>
  <c r="H322" i="8" s="1"/>
  <c r="S317" i="8"/>
  <c r="H317" i="8" s="1"/>
  <c r="S314" i="8"/>
  <c r="H314" i="8" s="1"/>
  <c r="S320" i="8"/>
  <c r="H320" i="8" s="1"/>
  <c r="S323" i="8"/>
  <c r="H323" i="8" s="1"/>
  <c r="S316" i="8"/>
  <c r="H316" i="8" s="1"/>
  <c r="S78" i="8"/>
  <c r="H78" i="8" s="1"/>
  <c r="S86" i="8"/>
  <c r="H86" i="8" s="1"/>
  <c r="S82" i="8"/>
  <c r="H82" i="8" s="1"/>
  <c r="S100" i="8"/>
  <c r="H100" i="8" s="1"/>
  <c r="S96" i="8"/>
  <c r="H96" i="8" s="1"/>
  <c r="S92" i="8"/>
  <c r="H92" i="8" s="1"/>
  <c r="S124" i="8"/>
  <c r="H124" i="8" s="1"/>
  <c r="S120" i="8"/>
  <c r="H120" i="8" s="1"/>
  <c r="S128" i="8"/>
  <c r="H128" i="8" s="1"/>
  <c r="S145" i="8"/>
  <c r="H145" i="8" s="1"/>
  <c r="S149" i="8"/>
  <c r="H149" i="8" s="1"/>
  <c r="S141" i="8"/>
  <c r="H141" i="8" s="1"/>
  <c r="S163" i="8"/>
  <c r="H163" i="8" s="1"/>
  <c r="S159" i="8"/>
  <c r="H159" i="8" s="1"/>
  <c r="S155" i="8"/>
  <c r="H155" i="8" s="1"/>
  <c r="S177" i="8"/>
  <c r="H177" i="8" s="1"/>
  <c r="S173" i="8"/>
  <c r="H173" i="8" s="1"/>
  <c r="S169" i="8"/>
  <c r="H169" i="8" s="1"/>
  <c r="S198" i="8"/>
  <c r="H198" i="8" s="1"/>
  <c r="S190" i="8"/>
  <c r="H190" i="8" s="1"/>
  <c r="S194" i="8"/>
  <c r="H194" i="8" s="1"/>
  <c r="S246" i="8"/>
  <c r="H246" i="8" s="1"/>
  <c r="S240" i="8"/>
  <c r="H240" i="8" s="1"/>
  <c r="S252" i="8"/>
  <c r="H252" i="8" s="1"/>
  <c r="S222" i="8"/>
  <c r="H222" i="8" s="1"/>
  <c r="S226" i="8"/>
  <c r="H226" i="8" s="1"/>
  <c r="S218" i="8"/>
  <c r="H218" i="8" s="1"/>
  <c r="S208" i="8"/>
  <c r="H208" i="8" s="1"/>
  <c r="S212" i="8"/>
  <c r="H212" i="8" s="1"/>
  <c r="S204" i="8"/>
  <c r="H204" i="8" s="1"/>
  <c r="S274" i="8"/>
  <c r="H274" i="8" s="1"/>
  <c r="S271" i="8"/>
  <c r="H271" i="8" s="1"/>
  <c r="S267" i="8"/>
  <c r="H267" i="8" s="1"/>
  <c r="S336" i="8"/>
  <c r="H336" i="8" s="1"/>
  <c r="S331" i="8"/>
  <c r="H331" i="8" s="1"/>
  <c r="S328" i="8"/>
  <c r="H328" i="8" s="1"/>
  <c r="S330" i="8"/>
  <c r="H330" i="8" s="1"/>
  <c r="S334" i="8"/>
  <c r="H334" i="8" s="1"/>
  <c r="S337" i="8"/>
  <c r="H337" i="8" s="1"/>
  <c r="S350" i="8"/>
  <c r="H350" i="8" s="1"/>
  <c r="S345" i="8"/>
  <c r="H345" i="8" s="1"/>
  <c r="S342" i="8"/>
  <c r="H342" i="8" s="1"/>
  <c r="S400" i="8"/>
  <c r="H400" i="8" s="1"/>
  <c r="S397" i="8"/>
  <c r="H397" i="8" s="1"/>
  <c r="S393" i="8"/>
  <c r="H393" i="8" s="1"/>
  <c r="S405" i="8"/>
  <c r="H405" i="8" s="1"/>
  <c r="S408" i="8"/>
  <c r="H408" i="8" s="1"/>
  <c r="S413" i="8"/>
  <c r="H413" i="8" s="1"/>
  <c r="S407" i="8"/>
  <c r="H407" i="8" s="1"/>
  <c r="S411" i="8"/>
  <c r="H411" i="8" s="1"/>
  <c r="S414" i="8"/>
  <c r="H414" i="8" s="1"/>
  <c r="S348" i="8"/>
  <c r="H348" i="8" s="1"/>
  <c r="S344" i="8"/>
  <c r="H344" i="8" s="1"/>
  <c r="S351" i="8"/>
  <c r="H351" i="8" s="1"/>
  <c r="S359" i="8"/>
  <c r="H359" i="8" s="1"/>
  <c r="S356" i="8"/>
  <c r="H356" i="8" s="1"/>
  <c r="S364" i="8"/>
  <c r="H364" i="8" s="1"/>
  <c r="S362" i="8"/>
  <c r="H362" i="8" s="1"/>
  <c r="S365" i="8"/>
  <c r="H365" i="8" s="1"/>
  <c r="S358" i="8"/>
  <c r="H358" i="8" s="1"/>
  <c r="S394" i="8"/>
  <c r="H394" i="8" s="1"/>
  <c r="S391" i="8"/>
  <c r="H391" i="8" s="1"/>
  <c r="S399" i="8"/>
  <c r="H399" i="8" s="1"/>
  <c r="S386" i="8"/>
  <c r="H386" i="8" s="1"/>
  <c r="S383" i="8"/>
  <c r="H383" i="8" s="1"/>
  <c r="S379" i="8"/>
  <c r="H379" i="8" s="1"/>
  <c r="H118" i="8"/>
  <c r="D148" i="8"/>
  <c r="D149" i="8" s="1"/>
  <c r="C150" i="8" s="1"/>
  <c r="C149" i="8"/>
  <c r="H14" i="9"/>
  <c r="S64" i="8" s="1"/>
  <c r="H64" i="8" s="1"/>
  <c r="H25" i="9"/>
  <c r="S89" i="8" s="1"/>
  <c r="H89" i="8" s="1"/>
  <c r="L37" i="9"/>
  <c r="L36" i="9"/>
  <c r="L26" i="9"/>
  <c r="S134" i="8" s="1"/>
  <c r="H27" i="9"/>
  <c r="L28" i="9"/>
  <c r="M27" i="9"/>
  <c r="T135" i="8" s="1"/>
  <c r="H29" i="9"/>
  <c r="S117" i="8" s="1"/>
  <c r="H117" i="8" s="1"/>
  <c r="H51" i="9"/>
  <c r="M47" i="9"/>
  <c r="T231" i="8" s="1"/>
  <c r="H58" i="9"/>
  <c r="S256" i="8" s="1"/>
  <c r="H256" i="8" s="1"/>
  <c r="H59" i="9"/>
  <c r="S257" i="8" s="1"/>
  <c r="H257" i="8" s="1"/>
  <c r="H69" i="9"/>
  <c r="S277" i="8" s="1"/>
  <c r="H277" i="8" s="1"/>
  <c r="H71" i="9"/>
  <c r="H73" i="9"/>
  <c r="L81" i="9"/>
  <c r="H80" i="9"/>
  <c r="I81" i="9"/>
  <c r="T327" i="8" s="1"/>
  <c r="H327" i="8" s="1"/>
  <c r="I28" i="9"/>
  <c r="T104" i="8" s="1"/>
  <c r="H104" i="8" s="1"/>
  <c r="H60" i="9"/>
  <c r="L47" i="9"/>
  <c r="S231" i="8" s="1"/>
  <c r="I26" i="9"/>
  <c r="T90" i="8" s="1"/>
  <c r="H90" i="8" s="1"/>
  <c r="I32" i="9"/>
  <c r="T132" i="8" s="1"/>
  <c r="I37" i="9"/>
  <c r="T153" i="8" s="1"/>
  <c r="H153" i="8" s="1"/>
  <c r="I39" i="9"/>
  <c r="T167" i="8" s="1"/>
  <c r="I41" i="9"/>
  <c r="T181" i="8" s="1"/>
  <c r="I48" i="9"/>
  <c r="T202" i="8" s="1"/>
  <c r="I52" i="9"/>
  <c r="T230" i="8" s="1"/>
  <c r="H230" i="8" s="1"/>
  <c r="I50" i="9"/>
  <c r="T216" i="8" s="1"/>
  <c r="M14" i="9"/>
  <c r="T74" i="8" s="1"/>
  <c r="L83" i="9"/>
  <c r="S373" i="8" s="1"/>
  <c r="H82" i="9"/>
  <c r="S340" i="8" s="1"/>
  <c r="M82" i="9"/>
  <c r="T370" i="8" s="1"/>
  <c r="H84" i="9"/>
  <c r="S354" i="8" s="1"/>
  <c r="H354" i="8" s="1"/>
  <c r="H70" i="9"/>
  <c r="S278" i="8" s="1"/>
  <c r="H278" i="8" s="1"/>
  <c r="I94" i="9"/>
  <c r="T404" i="8" s="1"/>
  <c r="H404" i="8" s="1"/>
  <c r="M91" i="9"/>
  <c r="T421" i="8" s="1"/>
  <c r="H95" i="9"/>
  <c r="S417" i="8" s="1"/>
  <c r="H417" i="8" s="1"/>
  <c r="I96" i="9"/>
  <c r="T418" i="8" s="1"/>
  <c r="H418" i="8" s="1"/>
  <c r="I85" i="9"/>
  <c r="T355" i="8" s="1"/>
  <c r="H355" i="8" s="1"/>
  <c r="H86" i="9"/>
  <c r="S368" i="8" s="1"/>
  <c r="H368" i="8" s="1"/>
  <c r="M80" i="9"/>
  <c r="T371" i="8" s="1"/>
  <c r="I87" i="9"/>
  <c r="T369" i="8" s="1"/>
  <c r="H369" i="8" s="1"/>
  <c r="M93" i="9"/>
  <c r="T419" i="8" s="1"/>
  <c r="H93" i="9"/>
  <c r="S403" i="8" s="1"/>
  <c r="H403" i="8" s="1"/>
  <c r="I92" i="9"/>
  <c r="T390" i="8" s="1"/>
  <c r="D83" i="5"/>
  <c r="C62" i="5"/>
  <c r="D84" i="5"/>
  <c r="D85" i="5" s="1"/>
  <c r="B77" i="5"/>
  <c r="D76" i="5"/>
  <c r="D77" i="5"/>
  <c r="E73" i="5"/>
  <c r="G6" i="5"/>
  <c r="E7" i="5"/>
  <c r="E8" i="5" s="1"/>
  <c r="G8" i="5" s="1"/>
  <c r="G7" i="1"/>
  <c r="H6" i="1"/>
  <c r="H340" i="8" l="1"/>
  <c r="H209" i="8"/>
  <c r="H178" i="8"/>
  <c r="H174" i="8"/>
  <c r="H170" i="8"/>
  <c r="H19" i="8"/>
  <c r="H125" i="8"/>
  <c r="H129" i="8"/>
  <c r="H164" i="8"/>
  <c r="H27" i="8"/>
  <c r="H43" i="8"/>
  <c r="H388" i="8"/>
  <c r="H205" i="8"/>
  <c r="H202" i="8"/>
  <c r="H213" i="8"/>
  <c r="J107" i="8"/>
  <c r="I107" i="8"/>
  <c r="I111" i="8"/>
  <c r="J111" i="8"/>
  <c r="K111" i="8" s="1"/>
  <c r="S302" i="8"/>
  <c r="H302" i="8" s="1"/>
  <c r="S299" i="8"/>
  <c r="H299" i="8" s="1"/>
  <c r="H74" i="9"/>
  <c r="S295" i="8"/>
  <c r="H295" i="8" s="1"/>
  <c r="S211" i="8"/>
  <c r="H211" i="8" s="1"/>
  <c r="S203" i="8"/>
  <c r="H203" i="8" s="1"/>
  <c r="S207" i="8"/>
  <c r="H207" i="8" s="1"/>
  <c r="H49" i="9"/>
  <c r="S216" i="8"/>
  <c r="H216" i="8" s="1"/>
  <c r="M49" i="9"/>
  <c r="T233" i="8" s="1"/>
  <c r="H40" i="9"/>
  <c r="S168" i="8"/>
  <c r="H168" i="8" s="1"/>
  <c r="S172" i="8"/>
  <c r="H172" i="8" s="1"/>
  <c r="S176" i="8"/>
  <c r="H176" i="8" s="1"/>
  <c r="S181" i="8"/>
  <c r="H181" i="8" s="1"/>
  <c r="M36" i="9"/>
  <c r="T182" i="8" s="1"/>
  <c r="J23" i="8"/>
  <c r="P23" i="8" s="1"/>
  <c r="I23" i="8"/>
  <c r="K23" i="8" s="1"/>
  <c r="S25" i="8"/>
  <c r="H25" i="8" s="1"/>
  <c r="S21" i="8"/>
  <c r="H21" i="8" s="1"/>
  <c r="I6" i="9"/>
  <c r="T29" i="8" s="1"/>
  <c r="H29" i="8" s="1"/>
  <c r="S17" i="8"/>
  <c r="H17" i="8" s="1"/>
  <c r="J31" i="8"/>
  <c r="P31" i="8" s="1"/>
  <c r="I31" i="8"/>
  <c r="K31" i="8" s="1"/>
  <c r="I35" i="8"/>
  <c r="K35" i="8" s="1"/>
  <c r="J35" i="8"/>
  <c r="P35" i="8" s="1"/>
  <c r="I39" i="8"/>
  <c r="K39" i="8" s="1"/>
  <c r="J39" i="8"/>
  <c r="P39" i="8" s="1"/>
  <c r="H72" i="9"/>
  <c r="S281" i="8"/>
  <c r="H281" i="8" s="1"/>
  <c r="S288" i="8"/>
  <c r="H288" i="8" s="1"/>
  <c r="S285" i="8"/>
  <c r="H285" i="8" s="1"/>
  <c r="S154" i="8"/>
  <c r="H154" i="8" s="1"/>
  <c r="S162" i="8"/>
  <c r="H162" i="8" s="1"/>
  <c r="H38" i="9"/>
  <c r="S158" i="8"/>
  <c r="H158" i="8" s="1"/>
  <c r="S167" i="8"/>
  <c r="H167" i="8" s="1"/>
  <c r="M38" i="9"/>
  <c r="T184" i="8" s="1"/>
  <c r="S132" i="8"/>
  <c r="H132" i="8" s="1"/>
  <c r="M25" i="9"/>
  <c r="T133" i="8" s="1"/>
  <c r="H31" i="9"/>
  <c r="S127" i="8"/>
  <c r="H127" i="8" s="1"/>
  <c r="S119" i="8"/>
  <c r="H119" i="8" s="1"/>
  <c r="S123" i="8"/>
  <c r="H123" i="8" s="1"/>
  <c r="S232" i="8"/>
  <c r="P48" i="9"/>
  <c r="H91" i="9"/>
  <c r="S380" i="8"/>
  <c r="H380" i="8" s="1"/>
  <c r="S385" i="8"/>
  <c r="H385" i="8" s="1"/>
  <c r="S377" i="8"/>
  <c r="H377" i="8" s="1"/>
  <c r="J121" i="8"/>
  <c r="I121" i="8"/>
  <c r="S14" i="8"/>
  <c r="H14" i="8" s="1"/>
  <c r="L3" i="9"/>
  <c r="S45" i="8"/>
  <c r="P4" i="9"/>
  <c r="S291" i="8"/>
  <c r="H291" i="8" s="1"/>
  <c r="L71" i="9"/>
  <c r="S258" i="8"/>
  <c r="H258" i="8" s="1"/>
  <c r="L59" i="9"/>
  <c r="I33" i="8"/>
  <c r="K33" i="8" s="1"/>
  <c r="J33" i="8"/>
  <c r="P33" i="8" s="1"/>
  <c r="I37" i="8"/>
  <c r="K37" i="8" s="1"/>
  <c r="J37" i="8"/>
  <c r="P37" i="8" s="1"/>
  <c r="J41" i="8"/>
  <c r="P41" i="8" s="1"/>
  <c r="I41" i="8"/>
  <c r="K41" i="8" s="1"/>
  <c r="H15" i="8"/>
  <c r="S390" i="8"/>
  <c r="H390" i="8" s="1"/>
  <c r="L92" i="9"/>
  <c r="S42" i="8"/>
  <c r="H42" i="8" s="1"/>
  <c r="M4" i="9"/>
  <c r="T45" i="8" s="1"/>
  <c r="H45" i="8" s="1"/>
  <c r="S28" i="8"/>
  <c r="H28" i="8" s="1"/>
  <c r="L5" i="9"/>
  <c r="S229" i="8"/>
  <c r="H229" i="8" s="1"/>
  <c r="M48" i="9"/>
  <c r="T232" i="8" s="1"/>
  <c r="J70" i="8"/>
  <c r="I70" i="8"/>
  <c r="I68" i="8"/>
  <c r="J68" i="8"/>
  <c r="K68" i="8" s="1"/>
  <c r="J30" i="8"/>
  <c r="P30" i="8" s="1"/>
  <c r="I30" i="8"/>
  <c r="K30" i="8" s="1"/>
  <c r="S183" i="8"/>
  <c r="P37" i="9"/>
  <c r="S182" i="8"/>
  <c r="P36" i="9"/>
  <c r="S103" i="8"/>
  <c r="H103" i="8" s="1"/>
  <c r="L27" i="9"/>
  <c r="S136" i="8"/>
  <c r="Q25" i="9"/>
  <c r="T137" i="8" s="1"/>
  <c r="S305" i="8"/>
  <c r="H305" i="8" s="1"/>
  <c r="M70" i="9"/>
  <c r="T308" i="8" s="1"/>
  <c r="S372" i="8"/>
  <c r="P81" i="9"/>
  <c r="S326" i="8"/>
  <c r="H326" i="8" s="1"/>
  <c r="L80" i="9"/>
  <c r="K112" i="8"/>
  <c r="K116" i="8"/>
  <c r="K54" i="8"/>
  <c r="K122" i="8"/>
  <c r="K84" i="8"/>
  <c r="K83" i="8"/>
  <c r="K79" i="8"/>
  <c r="K69" i="8"/>
  <c r="K55" i="8"/>
  <c r="K88" i="8"/>
  <c r="K98" i="8"/>
  <c r="K58" i="8"/>
  <c r="P8" i="8"/>
  <c r="P12" i="8"/>
  <c r="P5" i="8"/>
  <c r="P4" i="8"/>
  <c r="I87" i="8"/>
  <c r="J87" i="8"/>
  <c r="I80" i="8"/>
  <c r="J80" i="8"/>
  <c r="J102" i="8"/>
  <c r="I102" i="8"/>
  <c r="J10" i="8"/>
  <c r="I10" i="8"/>
  <c r="K10" i="8" s="1"/>
  <c r="I2" i="8"/>
  <c r="K2" i="8" s="1"/>
  <c r="J2" i="8"/>
  <c r="I20" i="8"/>
  <c r="K20" i="8" s="1"/>
  <c r="J20" i="8"/>
  <c r="I24" i="8"/>
  <c r="K24" i="8" s="1"/>
  <c r="J24" i="8"/>
  <c r="I16" i="8"/>
  <c r="K16" i="8" s="1"/>
  <c r="J16" i="8"/>
  <c r="I38" i="8"/>
  <c r="K38" i="8" s="1"/>
  <c r="J38" i="8"/>
  <c r="I34" i="8"/>
  <c r="K34" i="8" s="1"/>
  <c r="J34" i="8"/>
  <c r="I66" i="8"/>
  <c r="J66" i="8"/>
  <c r="D12" i="8"/>
  <c r="D13" i="8" s="1"/>
  <c r="C14" i="8" s="1"/>
  <c r="C13" i="8"/>
  <c r="C88" i="8"/>
  <c r="D87" i="8"/>
  <c r="D88" i="8" s="1"/>
  <c r="C89" i="8" s="1"/>
  <c r="D197" i="8"/>
  <c r="D198" i="8" s="1"/>
  <c r="C199" i="8" s="1"/>
  <c r="C198" i="8"/>
  <c r="D250" i="8"/>
  <c r="D251" i="8" s="1"/>
  <c r="D252" i="8" s="1"/>
  <c r="C253" i="8" s="1"/>
  <c r="C251" i="8"/>
  <c r="C252" i="8" s="1"/>
  <c r="H231" i="8"/>
  <c r="N265" i="8"/>
  <c r="I265" i="8"/>
  <c r="J265" i="8"/>
  <c r="J52" i="8"/>
  <c r="I52" i="8"/>
  <c r="I94" i="8"/>
  <c r="J94" i="8"/>
  <c r="I126" i="8"/>
  <c r="J126" i="8"/>
  <c r="J72" i="8"/>
  <c r="I72" i="8"/>
  <c r="S73" i="8"/>
  <c r="H73" i="8" s="1"/>
  <c r="L15" i="9"/>
  <c r="J11" i="8"/>
  <c r="I11" i="8"/>
  <c r="K11" i="8" s="1"/>
  <c r="I7" i="8"/>
  <c r="K7" i="8" s="1"/>
  <c r="J7" i="8"/>
  <c r="I3" i="8"/>
  <c r="K3" i="8" s="1"/>
  <c r="J3" i="8"/>
  <c r="I53" i="8"/>
  <c r="J53" i="8"/>
  <c r="I57" i="8"/>
  <c r="J57" i="8"/>
  <c r="J61" i="8"/>
  <c r="I61" i="8"/>
  <c r="I101" i="8"/>
  <c r="J101" i="8"/>
  <c r="I6" i="8"/>
  <c r="K6" i="8" s="1"/>
  <c r="J6" i="8"/>
  <c r="J9" i="8"/>
  <c r="I9" i="8"/>
  <c r="K9" i="8" s="1"/>
  <c r="I13" i="8"/>
  <c r="K13" i="8" s="1"/>
  <c r="J13" i="8"/>
  <c r="I32" i="8"/>
  <c r="K32" i="8" s="1"/>
  <c r="J32" i="8"/>
  <c r="J36" i="8"/>
  <c r="I36" i="8"/>
  <c r="K36" i="8" s="1"/>
  <c r="J40" i="8"/>
  <c r="I40" i="8"/>
  <c r="K40" i="8" s="1"/>
  <c r="J67" i="8"/>
  <c r="I67" i="8"/>
  <c r="I71" i="8"/>
  <c r="J71" i="8"/>
  <c r="J63" i="8"/>
  <c r="I63" i="8"/>
  <c r="I59" i="8"/>
  <c r="J59" i="8"/>
  <c r="K59" i="8" s="1"/>
  <c r="J18" i="8"/>
  <c r="I18" i="8"/>
  <c r="K18" i="8" s="1"/>
  <c r="J26" i="8"/>
  <c r="I26" i="8"/>
  <c r="K26" i="8" s="1"/>
  <c r="I22" i="8"/>
  <c r="K22" i="8" s="1"/>
  <c r="J22" i="8"/>
  <c r="J115" i="8"/>
  <c r="I115" i="8"/>
  <c r="J108" i="8"/>
  <c r="I108" i="8"/>
  <c r="J130" i="8"/>
  <c r="I130" i="8"/>
  <c r="J62" i="8"/>
  <c r="I62" i="8"/>
  <c r="I60" i="8"/>
  <c r="J60" i="8"/>
  <c r="J56" i="8"/>
  <c r="I56" i="8"/>
  <c r="J85" i="8"/>
  <c r="I85" i="8"/>
  <c r="I77" i="8"/>
  <c r="J77" i="8"/>
  <c r="I81" i="8"/>
  <c r="J81" i="8"/>
  <c r="I91" i="8"/>
  <c r="J91" i="8"/>
  <c r="I95" i="8"/>
  <c r="J95" i="8"/>
  <c r="J99" i="8"/>
  <c r="I99" i="8"/>
  <c r="J105" i="8"/>
  <c r="I105" i="8"/>
  <c r="I109" i="8"/>
  <c r="J109" i="8"/>
  <c r="I113" i="8"/>
  <c r="J113" i="8"/>
  <c r="I110" i="8"/>
  <c r="J110" i="8"/>
  <c r="K110" i="8" s="1"/>
  <c r="J106" i="8"/>
  <c r="I106" i="8"/>
  <c r="I114" i="8"/>
  <c r="J114" i="8"/>
  <c r="I78" i="8"/>
  <c r="J78" i="8"/>
  <c r="J86" i="8"/>
  <c r="I86" i="8"/>
  <c r="I82" i="8"/>
  <c r="J82" i="8"/>
  <c r="J100" i="8"/>
  <c r="I100" i="8"/>
  <c r="I96" i="8"/>
  <c r="J96" i="8"/>
  <c r="I92" i="8"/>
  <c r="J92" i="8"/>
  <c r="I124" i="8"/>
  <c r="J124" i="8"/>
  <c r="J120" i="8"/>
  <c r="I120" i="8"/>
  <c r="J128" i="8"/>
  <c r="I128" i="8"/>
  <c r="I118" i="8"/>
  <c r="J118" i="8"/>
  <c r="I64" i="8"/>
  <c r="J64" i="8"/>
  <c r="J89" i="8"/>
  <c r="I89" i="8"/>
  <c r="J117" i="8"/>
  <c r="I117" i="8"/>
  <c r="I104" i="8"/>
  <c r="J104" i="8"/>
  <c r="J90" i="8"/>
  <c r="I90" i="8"/>
  <c r="C151" i="8"/>
  <c r="D150" i="8"/>
  <c r="D151" i="8" s="1"/>
  <c r="C152" i="8" s="1"/>
  <c r="L14" i="9"/>
  <c r="S74" i="8" s="1"/>
  <c r="H74" i="8" s="1"/>
  <c r="L25" i="9"/>
  <c r="S133" i="8" s="1"/>
  <c r="P26" i="9"/>
  <c r="S138" i="8" s="1"/>
  <c r="M28" i="9"/>
  <c r="T136" i="8" s="1"/>
  <c r="L58" i="9"/>
  <c r="S259" i="8" s="1"/>
  <c r="L69" i="9"/>
  <c r="S307" i="8" s="1"/>
  <c r="P47" i="9"/>
  <c r="S235" i="8" s="1"/>
  <c r="M58" i="9"/>
  <c r="T259" i="8" s="1"/>
  <c r="Q80" i="9"/>
  <c r="T374" i="8" s="1"/>
  <c r="L82" i="9"/>
  <c r="S370" i="8" s="1"/>
  <c r="H370" i="8" s="1"/>
  <c r="M83" i="9"/>
  <c r="T373" i="8" s="1"/>
  <c r="H373" i="8" s="1"/>
  <c r="L70" i="9"/>
  <c r="S308" i="8" s="1"/>
  <c r="M92" i="9"/>
  <c r="T422" i="8" s="1"/>
  <c r="M81" i="9"/>
  <c r="T372" i="8" s="1"/>
  <c r="L93" i="9"/>
  <c r="S419" i="8" s="1"/>
  <c r="H419" i="8" s="1"/>
  <c r="C24" i="5"/>
  <c r="C31" i="5" s="1"/>
  <c r="C33" i="5" s="1"/>
  <c r="E83" i="5"/>
  <c r="E84" i="5" s="1"/>
  <c r="E85" i="5" s="1"/>
  <c r="E76" i="5"/>
  <c r="E77" i="5"/>
  <c r="E10" i="5"/>
  <c r="G10" i="5" s="1"/>
  <c r="H83" i="5" s="1"/>
  <c r="H84" i="5" s="1"/>
  <c r="H85" i="5" s="1"/>
  <c r="G7" i="5"/>
  <c r="H7" i="1"/>
  <c r="I6" i="1"/>
  <c r="I7" i="1" s="1"/>
  <c r="H136" i="8" l="1"/>
  <c r="I19" i="8"/>
  <c r="K19" i="8" s="1"/>
  <c r="J19" i="8"/>
  <c r="P19" i="8" s="1"/>
  <c r="J125" i="8"/>
  <c r="I125" i="8"/>
  <c r="J129" i="8"/>
  <c r="I129" i="8"/>
  <c r="H232" i="8"/>
  <c r="H182" i="8"/>
  <c r="S215" i="8"/>
  <c r="H215" i="8" s="1"/>
  <c r="L49" i="9"/>
  <c r="S292" i="8"/>
  <c r="H292" i="8" s="1"/>
  <c r="M71" i="9"/>
  <c r="T309" i="8" s="1"/>
  <c r="S389" i="8"/>
  <c r="H389" i="8" s="1"/>
  <c r="L91" i="9"/>
  <c r="I25" i="8"/>
  <c r="K25" i="8" s="1"/>
  <c r="J25" i="8"/>
  <c r="P25" i="8" s="1"/>
  <c r="J21" i="8"/>
  <c r="P21" i="8" s="1"/>
  <c r="I21" i="8"/>
  <c r="K21" i="8" s="1"/>
  <c r="K107" i="8"/>
  <c r="K121" i="8"/>
  <c r="I29" i="8"/>
  <c r="K29" i="8" s="1"/>
  <c r="J29" i="8"/>
  <c r="P29" i="8" s="1"/>
  <c r="J27" i="8"/>
  <c r="P27" i="8" s="1"/>
  <c r="I27" i="8"/>
  <c r="K27" i="8" s="1"/>
  <c r="I43" i="8"/>
  <c r="K43" i="8" s="1"/>
  <c r="J43" i="8"/>
  <c r="P43" i="8" s="1"/>
  <c r="M37" i="9"/>
  <c r="T183" i="8" s="1"/>
  <c r="H183" i="8" s="1"/>
  <c r="S180" i="8"/>
  <c r="H180" i="8" s="1"/>
  <c r="H133" i="8"/>
  <c r="K70" i="8"/>
  <c r="S306" i="8"/>
  <c r="H306" i="8" s="1"/>
  <c r="M69" i="9"/>
  <c r="T307" i="8" s="1"/>
  <c r="H307" i="8" s="1"/>
  <c r="J17" i="8"/>
  <c r="P17" i="8" s="1"/>
  <c r="I17" i="8"/>
  <c r="K17" i="8" s="1"/>
  <c r="S166" i="8"/>
  <c r="H166" i="8" s="1"/>
  <c r="L38" i="9"/>
  <c r="I132" i="8"/>
  <c r="J132" i="8"/>
  <c r="K132" i="8" s="1"/>
  <c r="S131" i="8"/>
  <c r="H131" i="8" s="1"/>
  <c r="M26" i="9"/>
  <c r="T134" i="8" s="1"/>
  <c r="H134" i="8" s="1"/>
  <c r="I127" i="8"/>
  <c r="J127" i="8"/>
  <c r="I119" i="8"/>
  <c r="J119" i="8"/>
  <c r="K119" i="8" s="1"/>
  <c r="J123" i="8"/>
  <c r="I123" i="8"/>
  <c r="S236" i="8"/>
  <c r="H236" i="8" s="1"/>
  <c r="U47" i="9"/>
  <c r="T237" i="8" s="1"/>
  <c r="I14" i="8"/>
  <c r="K14" i="8" s="1"/>
  <c r="J14" i="8"/>
  <c r="P14" i="8" s="1"/>
  <c r="S44" i="8"/>
  <c r="H44" i="8" s="1"/>
  <c r="P3" i="9"/>
  <c r="S49" i="8"/>
  <c r="H49" i="8" s="1"/>
  <c r="U3" i="9"/>
  <c r="T50" i="8" s="1"/>
  <c r="S309" i="8"/>
  <c r="Q69" i="9"/>
  <c r="T310" i="8" s="1"/>
  <c r="S260" i="8"/>
  <c r="H260" i="8" s="1"/>
  <c r="Q58" i="9"/>
  <c r="T262" i="8" s="1"/>
  <c r="J15" i="8"/>
  <c r="P15" i="8" s="1"/>
  <c r="I15" i="8"/>
  <c r="K15" i="8" s="1"/>
  <c r="J45" i="8"/>
  <c r="P45" i="8" s="1"/>
  <c r="I45" i="8"/>
  <c r="K45" i="8" s="1"/>
  <c r="I42" i="8"/>
  <c r="K42" i="8" s="1"/>
  <c r="J42" i="8"/>
  <c r="P42" i="8" s="1"/>
  <c r="I28" i="8"/>
  <c r="K28" i="8" s="1"/>
  <c r="J28" i="8"/>
  <c r="P28" i="8" s="1"/>
  <c r="S187" i="8"/>
  <c r="H187" i="8" s="1"/>
  <c r="U36" i="9"/>
  <c r="T188" i="8" s="1"/>
  <c r="S186" i="8"/>
  <c r="T36" i="9"/>
  <c r="S188" i="8" s="1"/>
  <c r="H188" i="8" s="1"/>
  <c r="S135" i="8"/>
  <c r="H135" i="8" s="1"/>
  <c r="Q26" i="9"/>
  <c r="T138" i="8" s="1"/>
  <c r="H138" i="8" s="1"/>
  <c r="S375" i="8"/>
  <c r="U80" i="9"/>
  <c r="T376" i="8" s="1"/>
  <c r="H308" i="8"/>
  <c r="H372" i="8"/>
  <c r="S422" i="8"/>
  <c r="H422" i="8" s="1"/>
  <c r="P92" i="9"/>
  <c r="S46" i="8"/>
  <c r="H46" i="8" s="1"/>
  <c r="Q3" i="9"/>
  <c r="T48" i="8" s="1"/>
  <c r="S371" i="8"/>
  <c r="H371" i="8" s="1"/>
  <c r="P80" i="9"/>
  <c r="J103" i="8"/>
  <c r="I103" i="8"/>
  <c r="K114" i="8"/>
  <c r="K53" i="8"/>
  <c r="K109" i="8"/>
  <c r="K92" i="8"/>
  <c r="K124" i="8"/>
  <c r="K126" i="8"/>
  <c r="K96" i="8"/>
  <c r="K78" i="8"/>
  <c r="K82" i="8"/>
  <c r="K118" i="8"/>
  <c r="K104" i="8"/>
  <c r="K95" i="8"/>
  <c r="K64" i="8"/>
  <c r="K57" i="8"/>
  <c r="K113" i="8"/>
  <c r="K87" i="8"/>
  <c r="K94" i="8"/>
  <c r="K81" i="8"/>
  <c r="K77" i="8"/>
  <c r="K60" i="8"/>
  <c r="K71" i="8"/>
  <c r="K66" i="8"/>
  <c r="K91" i="8"/>
  <c r="K99" i="8"/>
  <c r="K80" i="8"/>
  <c r="K265" i="8"/>
  <c r="K101" i="8"/>
  <c r="K90" i="8"/>
  <c r="K102" i="8"/>
  <c r="K52" i="8"/>
  <c r="K72" i="8"/>
  <c r="K61" i="8"/>
  <c r="K67" i="8"/>
  <c r="K63" i="8"/>
  <c r="K115" i="8"/>
  <c r="K108" i="8"/>
  <c r="K130" i="8"/>
  <c r="K62" i="8"/>
  <c r="K56" i="8"/>
  <c r="K85" i="8"/>
  <c r="K105" i="8"/>
  <c r="K106" i="8"/>
  <c r="K86" i="8"/>
  <c r="K100" i="8"/>
  <c r="K120" i="8"/>
  <c r="K128" i="8"/>
  <c r="K89" i="8"/>
  <c r="K117" i="8"/>
  <c r="P10" i="8"/>
  <c r="P2" i="8"/>
  <c r="P20" i="8"/>
  <c r="P24" i="8"/>
  <c r="P16" i="8"/>
  <c r="P38" i="8"/>
  <c r="P34" i="8"/>
  <c r="P11" i="8"/>
  <c r="P7" i="8"/>
  <c r="P3" i="8"/>
  <c r="P6" i="8"/>
  <c r="P9" i="8"/>
  <c r="P13" i="8"/>
  <c r="P32" i="8"/>
  <c r="P36" i="8"/>
  <c r="P40" i="8"/>
  <c r="P18" i="8"/>
  <c r="P26" i="8"/>
  <c r="P22" i="8"/>
  <c r="P265" i="8"/>
  <c r="D14" i="8"/>
  <c r="D15" i="8" s="1"/>
  <c r="C16" i="8" s="1"/>
  <c r="C15" i="8"/>
  <c r="D89" i="8"/>
  <c r="D90" i="8" s="1"/>
  <c r="C91" i="8" s="1"/>
  <c r="C90" i="8"/>
  <c r="D199" i="8"/>
  <c r="D200" i="8" s="1"/>
  <c r="C201" i="8" s="1"/>
  <c r="C200" i="8"/>
  <c r="D253" i="8"/>
  <c r="D254" i="8" s="1"/>
  <c r="D255" i="8" s="1"/>
  <c r="C256" i="8" s="1"/>
  <c r="C254" i="8"/>
  <c r="C255" i="8" s="1"/>
  <c r="I73" i="8"/>
  <c r="J73" i="8"/>
  <c r="Q14" i="9"/>
  <c r="T76" i="8" s="1"/>
  <c r="S75" i="8"/>
  <c r="H75" i="8" s="1"/>
  <c r="J74" i="8"/>
  <c r="I74" i="8"/>
  <c r="H259" i="8"/>
  <c r="D152" i="8"/>
  <c r="D153" i="8" s="1"/>
  <c r="C154" i="8" s="1"/>
  <c r="C153" i="8"/>
  <c r="P14" i="9"/>
  <c r="S76" i="8" s="1"/>
  <c r="P25" i="9"/>
  <c r="S137" i="8" s="1"/>
  <c r="H137" i="8" s="1"/>
  <c r="U25" i="9"/>
  <c r="T139" i="8" s="1"/>
  <c r="P58" i="9"/>
  <c r="S262" i="8" s="1"/>
  <c r="P69" i="9"/>
  <c r="S310" i="8" s="1"/>
  <c r="T47" i="9"/>
  <c r="S237" i="8" s="1"/>
  <c r="Q81" i="9"/>
  <c r="T375" i="8" s="1"/>
  <c r="P70" i="9"/>
  <c r="S311" i="8" s="1"/>
  <c r="Q91" i="9"/>
  <c r="T424" i="8" s="1"/>
  <c r="F83" i="5"/>
  <c r="F84" i="5" s="1"/>
  <c r="F85" i="5" s="1"/>
  <c r="C49" i="5"/>
  <c r="C57" i="5" s="1"/>
  <c r="C63" i="5" s="1"/>
  <c r="C64" i="5" s="1"/>
  <c r="B11" i="1"/>
  <c r="B16" i="1" s="1"/>
  <c r="B27" i="1" s="1"/>
  <c r="H237" i="8" l="1"/>
  <c r="K125" i="8"/>
  <c r="K129" i="8"/>
  <c r="I136" i="8"/>
  <c r="J136" i="8"/>
  <c r="K127" i="8"/>
  <c r="H309" i="8"/>
  <c r="H262" i="8"/>
  <c r="H310" i="8"/>
  <c r="S233" i="8"/>
  <c r="H233" i="8" s="1"/>
  <c r="Q47" i="9"/>
  <c r="T235" i="8" s="1"/>
  <c r="H235" i="8" s="1"/>
  <c r="S421" i="8"/>
  <c r="H421" i="8" s="1"/>
  <c r="P91" i="9"/>
  <c r="I133" i="8"/>
  <c r="J133" i="8"/>
  <c r="S184" i="8"/>
  <c r="H184" i="8" s="1"/>
  <c r="Q36" i="9"/>
  <c r="T186" i="8" s="1"/>
  <c r="H186" i="8" s="1"/>
  <c r="K123" i="8"/>
  <c r="I134" i="8"/>
  <c r="J134" i="8"/>
  <c r="J131" i="8"/>
  <c r="I131" i="8"/>
  <c r="J44" i="8"/>
  <c r="P44" i="8" s="1"/>
  <c r="I44" i="8"/>
  <c r="K44" i="8" s="1"/>
  <c r="I49" i="8"/>
  <c r="K49" i="8" s="1"/>
  <c r="J49" i="8"/>
  <c r="P49" i="8" s="1"/>
  <c r="H375" i="8"/>
  <c r="S48" i="8"/>
  <c r="H48" i="8" s="1"/>
  <c r="T3" i="9"/>
  <c r="S50" i="8" s="1"/>
  <c r="H50" i="8" s="1"/>
  <c r="J135" i="8"/>
  <c r="I135" i="8"/>
  <c r="J46" i="8"/>
  <c r="P46" i="8" s="1"/>
  <c r="I46" i="8"/>
  <c r="K46" i="8" s="1"/>
  <c r="S425" i="8"/>
  <c r="H425" i="8" s="1"/>
  <c r="U91" i="9"/>
  <c r="T427" i="8" s="1"/>
  <c r="S374" i="8"/>
  <c r="H374" i="8" s="1"/>
  <c r="T80" i="9"/>
  <c r="S376" i="8" s="1"/>
  <c r="H376" i="8" s="1"/>
  <c r="K103" i="8"/>
  <c r="K73" i="8"/>
  <c r="K74" i="8"/>
  <c r="D16" i="8"/>
  <c r="D17" i="8" s="1"/>
  <c r="C18" i="8" s="1"/>
  <c r="C17" i="8"/>
  <c r="D91" i="8"/>
  <c r="D92" i="8" s="1"/>
  <c r="C93" i="8" s="1"/>
  <c r="C92" i="8"/>
  <c r="C202" i="8"/>
  <c r="D201" i="8"/>
  <c r="D202" i="8" s="1"/>
  <c r="C203" i="8" s="1"/>
  <c r="C257" i="8"/>
  <c r="C258" i="8" s="1"/>
  <c r="D256" i="8"/>
  <c r="D257" i="8" s="1"/>
  <c r="D258" i="8" s="1"/>
  <c r="C259" i="8" s="1"/>
  <c r="H76" i="8"/>
  <c r="J75" i="8"/>
  <c r="I75" i="8"/>
  <c r="I138" i="8"/>
  <c r="J138" i="8"/>
  <c r="J137" i="8"/>
  <c r="I137" i="8"/>
  <c r="D154" i="8"/>
  <c r="D155" i="8" s="1"/>
  <c r="C156" i="8" s="1"/>
  <c r="C155" i="8"/>
  <c r="T25" i="9"/>
  <c r="S139" i="8" s="1"/>
  <c r="H139" i="8" s="1"/>
  <c r="T69" i="9"/>
  <c r="S313" i="8" s="1"/>
  <c r="U69" i="9"/>
  <c r="T313" i="8" s="1"/>
  <c r="C59" i="5"/>
  <c r="K136" i="8" l="1"/>
  <c r="K134" i="8"/>
  <c r="K135" i="8"/>
  <c r="K133" i="8"/>
  <c r="T91" i="9"/>
  <c r="S427" i="8" s="1"/>
  <c r="H427" i="8" s="1"/>
  <c r="S424" i="8"/>
  <c r="H424" i="8" s="1"/>
  <c r="I48" i="8"/>
  <c r="K48" i="8" s="1"/>
  <c r="J48" i="8"/>
  <c r="P48" i="8" s="1"/>
  <c r="K131" i="8"/>
  <c r="I50" i="8"/>
  <c r="K50" i="8" s="1"/>
  <c r="J50" i="8"/>
  <c r="P50" i="8" s="1"/>
  <c r="K138" i="8"/>
  <c r="K137" i="8"/>
  <c r="K75" i="8"/>
  <c r="D18" i="8"/>
  <c r="D19" i="8" s="1"/>
  <c r="C20" i="8" s="1"/>
  <c r="C19" i="8"/>
  <c r="C94" i="8"/>
  <c r="D93" i="8"/>
  <c r="D94" i="8" s="1"/>
  <c r="C95" i="8" s="1"/>
  <c r="C204" i="8"/>
  <c r="D203" i="8"/>
  <c r="D204" i="8" s="1"/>
  <c r="C205" i="8" s="1"/>
  <c r="D259" i="8"/>
  <c r="D260" i="8" s="1"/>
  <c r="D261" i="8" s="1"/>
  <c r="C262" i="8" s="1"/>
  <c r="C260" i="8"/>
  <c r="C261" i="8" s="1"/>
  <c r="J76" i="8"/>
  <c r="I76" i="8"/>
  <c r="I139" i="8"/>
  <c r="J139" i="8"/>
  <c r="H313" i="8"/>
  <c r="C157" i="8"/>
  <c r="D156" i="8"/>
  <c r="D157" i="8" s="1"/>
  <c r="C158" i="8" s="1"/>
  <c r="K139" i="8" l="1"/>
  <c r="K76" i="8"/>
  <c r="F39" i="12"/>
  <c r="F222" i="12"/>
  <c r="D222" i="12" s="1"/>
  <c r="F202" i="12"/>
  <c r="D202" i="12" s="1"/>
  <c r="F215" i="12"/>
  <c r="D215" i="12" s="1"/>
  <c r="F74" i="12"/>
  <c r="D74" i="12" s="1"/>
  <c r="F33" i="12"/>
  <c r="F205" i="12"/>
  <c r="D205" i="12" s="1"/>
  <c r="F198" i="12"/>
  <c r="D198" i="12" s="1"/>
  <c r="F189" i="12"/>
  <c r="D189" i="12" s="1"/>
  <c r="F62" i="12"/>
  <c r="D62" i="12" s="1"/>
  <c r="F87" i="12"/>
  <c r="D87" i="12" s="1"/>
  <c r="F99" i="12"/>
  <c r="D99" i="12" s="1"/>
  <c r="F125" i="12"/>
  <c r="D125" i="12" s="1"/>
  <c r="F155" i="12"/>
  <c r="D155" i="12" s="1"/>
  <c r="F88" i="12"/>
  <c r="D88" i="12" s="1"/>
  <c r="F190" i="12"/>
  <c r="D190" i="12" s="1"/>
  <c r="F16" i="12"/>
  <c r="F18" i="12"/>
  <c r="F20" i="12"/>
  <c r="F23" i="12"/>
  <c r="F26" i="12"/>
  <c r="F34" i="12"/>
  <c r="F37" i="12"/>
  <c r="F40" i="12"/>
  <c r="F68" i="12"/>
  <c r="D68" i="12" s="1"/>
  <c r="F110" i="12"/>
  <c r="D110" i="12" s="1"/>
  <c r="F131" i="12"/>
  <c r="D131" i="12" s="1"/>
  <c r="F166" i="12"/>
  <c r="D166" i="12" s="1"/>
  <c r="F203" i="12"/>
  <c r="D203" i="12" s="1"/>
  <c r="F150" i="12"/>
  <c r="D150" i="12" s="1"/>
  <c r="F153" i="12"/>
  <c r="D153" i="12" s="1"/>
  <c r="F157" i="12"/>
  <c r="D157" i="12" s="1"/>
  <c r="F165" i="12"/>
  <c r="D165" i="12" s="1"/>
  <c r="F174" i="12"/>
  <c r="D174" i="12" s="1"/>
  <c r="F180" i="12"/>
  <c r="D180" i="12" s="1"/>
  <c r="F184" i="12"/>
  <c r="D184" i="12" s="1"/>
  <c r="F192" i="12"/>
  <c r="D192" i="12" s="1"/>
  <c r="F77" i="12"/>
  <c r="D77" i="12" s="1"/>
  <c r="F81" i="12"/>
  <c r="D81" i="12" s="1"/>
  <c r="C21" i="8"/>
  <c r="D20" i="8"/>
  <c r="D21" i="8" s="1"/>
  <c r="C22" i="8" s="1"/>
  <c r="C96" i="8"/>
  <c r="D95" i="8"/>
  <c r="D96" i="8" s="1"/>
  <c r="C97" i="8" s="1"/>
  <c r="D205" i="8"/>
  <c r="D206" i="8" s="1"/>
  <c r="C207" i="8" s="1"/>
  <c r="C206" i="8"/>
  <c r="D262" i="8"/>
  <c r="D263" i="8" s="1"/>
  <c r="D264" i="8" s="1"/>
  <c r="C265" i="8" s="1"/>
  <c r="C263" i="8"/>
  <c r="C264" i="8" s="1"/>
  <c r="D158" i="8"/>
  <c r="D159" i="8" s="1"/>
  <c r="C160" i="8" s="1"/>
  <c r="C159" i="8"/>
  <c r="F43" i="12" l="1"/>
  <c r="F188" i="12"/>
  <c r="D188" i="12" s="1"/>
  <c r="F124" i="12"/>
  <c r="D124" i="12" s="1"/>
  <c r="F245" i="12"/>
  <c r="D245" i="12" s="1"/>
  <c r="F161" i="12"/>
  <c r="D161" i="12" s="1"/>
  <c r="F121" i="12"/>
  <c r="D121" i="12" s="1"/>
  <c r="F214" i="12"/>
  <c r="D214" i="12" s="1"/>
  <c r="F90" i="12"/>
  <c r="D90" i="12" s="1"/>
  <c r="F98" i="12"/>
  <c r="D98" i="12" s="1"/>
  <c r="F220" i="12"/>
  <c r="D220" i="12" s="1"/>
  <c r="F228" i="12"/>
  <c r="D228" i="12" s="1"/>
  <c r="F241" i="12"/>
  <c r="D241" i="12" s="1"/>
  <c r="F249" i="12"/>
  <c r="D249" i="12" s="1"/>
  <c r="F11" i="12"/>
  <c r="D11" i="12" s="1"/>
  <c r="F25" i="12"/>
  <c r="D25" i="12" s="1"/>
  <c r="F36" i="12"/>
  <c r="D36" i="12" s="1"/>
  <c r="F42" i="12"/>
  <c r="D42" i="12" s="1"/>
  <c r="F60" i="12"/>
  <c r="D60" i="12" s="1"/>
  <c r="F76" i="12"/>
  <c r="D76" i="12" s="1"/>
  <c r="F225" i="12"/>
  <c r="D225" i="12" s="1"/>
  <c r="F247" i="12"/>
  <c r="D247" i="12" s="1"/>
  <c r="F139" i="12"/>
  <c r="D139" i="12" s="1"/>
  <c r="F158" i="12"/>
  <c r="D158" i="12" s="1"/>
  <c r="F21" i="12"/>
  <c r="D21" i="12" s="1"/>
  <c r="F93" i="12"/>
  <c r="D93" i="12" s="1"/>
  <c r="F13" i="12"/>
  <c r="D13" i="12" s="1"/>
  <c r="F70" i="12"/>
  <c r="D70" i="12" s="1"/>
  <c r="F108" i="12"/>
  <c r="D108" i="12" s="1"/>
  <c r="F133" i="12"/>
  <c r="D133" i="12" s="1"/>
  <c r="F126" i="12"/>
  <c r="D126" i="12" s="1"/>
  <c r="F145" i="12"/>
  <c r="D145" i="12" s="1"/>
  <c r="F117" i="12"/>
  <c r="D117" i="12" s="1"/>
  <c r="F9" i="12"/>
  <c r="D9" i="12" s="1"/>
  <c r="F19" i="12"/>
  <c r="D19" i="12" s="1"/>
  <c r="F53" i="12"/>
  <c r="D53" i="12" s="1"/>
  <c r="F94" i="12"/>
  <c r="D94" i="12" s="1"/>
  <c r="F196" i="12"/>
  <c r="D196" i="12" s="1"/>
  <c r="F67" i="12"/>
  <c r="D67" i="12" s="1"/>
  <c r="F38" i="12"/>
  <c r="D38" i="12" s="1"/>
  <c r="F44" i="12"/>
  <c r="D44" i="12" s="1"/>
  <c r="F55" i="12"/>
  <c r="D55" i="12" s="1"/>
  <c r="F177" i="12"/>
  <c r="D177" i="12" s="1"/>
  <c r="F193" i="12"/>
  <c r="D193" i="12" s="1"/>
  <c r="F219" i="12"/>
  <c r="D219" i="12" s="1"/>
  <c r="F240" i="12"/>
  <c r="D240" i="12" s="1"/>
  <c r="F51" i="12"/>
  <c r="D51" i="12" s="1"/>
  <c r="F54" i="12"/>
  <c r="D54" i="12" s="1"/>
  <c r="F58" i="12"/>
  <c r="D58" i="12" s="1"/>
  <c r="F61" i="12"/>
  <c r="D61" i="12" s="1"/>
  <c r="F65" i="12"/>
  <c r="D65" i="12" s="1"/>
  <c r="F69" i="12"/>
  <c r="D69" i="12" s="1"/>
  <c r="F73" i="12"/>
  <c r="D73" i="12" s="1"/>
  <c r="F128" i="12"/>
  <c r="D128" i="12" s="1"/>
  <c r="F132" i="12"/>
  <c r="D132" i="12" s="1"/>
  <c r="F134" i="12"/>
  <c r="D134" i="12" s="1"/>
  <c r="F138" i="12"/>
  <c r="D138" i="12" s="1"/>
  <c r="F147" i="12"/>
  <c r="D147" i="12" s="1"/>
  <c r="F149" i="12"/>
  <c r="D149" i="12" s="1"/>
  <c r="F152" i="12"/>
  <c r="D152" i="12" s="1"/>
  <c r="F52" i="12"/>
  <c r="D52" i="12" s="1"/>
  <c r="F64" i="12"/>
  <c r="D64" i="12" s="1"/>
  <c r="F234" i="12"/>
  <c r="D234" i="12" s="1"/>
  <c r="F251" i="12"/>
  <c r="D251" i="12" s="1"/>
  <c r="F66" i="12"/>
  <c r="D66" i="12" s="1"/>
  <c r="F91" i="12"/>
  <c r="D91" i="12" s="1"/>
  <c r="F197" i="12"/>
  <c r="D197" i="12" s="1"/>
  <c r="F223" i="12"/>
  <c r="D223" i="12" s="1"/>
  <c r="F244" i="12"/>
  <c r="D244" i="12" s="1"/>
  <c r="F186" i="12"/>
  <c r="D186" i="12" s="1"/>
  <c r="F216" i="12"/>
  <c r="D216" i="12" s="1"/>
  <c r="F232" i="12"/>
  <c r="D232" i="12" s="1"/>
  <c r="F80" i="12"/>
  <c r="D80" i="12" s="1"/>
  <c r="E110" i="12"/>
  <c r="D39" i="12"/>
  <c r="D33" i="12"/>
  <c r="D34" i="12"/>
  <c r="D37" i="12"/>
  <c r="D40" i="12"/>
  <c r="D43" i="12"/>
  <c r="I15" i="12"/>
  <c r="H251" i="12"/>
  <c r="I223" i="12"/>
  <c r="I7" i="12"/>
  <c r="I12" i="12"/>
  <c r="I21" i="12"/>
  <c r="I40" i="12"/>
  <c r="I53" i="12"/>
  <c r="I92" i="12"/>
  <c r="I123" i="12"/>
  <c r="I134" i="12"/>
  <c r="I197" i="12"/>
  <c r="I245" i="12"/>
  <c r="I166" i="12"/>
  <c r="I199" i="12"/>
  <c r="I187" i="12"/>
  <c r="I219" i="12"/>
  <c r="I163" i="12"/>
  <c r="I240" i="12"/>
  <c r="F106" i="12"/>
  <c r="D106" i="12" s="1"/>
  <c r="F119" i="12"/>
  <c r="D119" i="12" s="1"/>
  <c r="F127" i="12"/>
  <c r="D127" i="12" s="1"/>
  <c r="F135" i="12"/>
  <c r="D135" i="12" s="1"/>
  <c r="F163" i="12"/>
  <c r="D163" i="12" s="1"/>
  <c r="F176" i="12"/>
  <c r="D176" i="12" s="1"/>
  <c r="F187" i="12"/>
  <c r="D187" i="12" s="1"/>
  <c r="F56" i="12"/>
  <c r="D56" i="12" s="1"/>
  <c r="F243" i="12"/>
  <c r="D243" i="12" s="1"/>
  <c r="F122" i="12"/>
  <c r="D122" i="12" s="1"/>
  <c r="F130" i="12"/>
  <c r="D130" i="12" s="1"/>
  <c r="F136" i="12"/>
  <c r="D136" i="12" s="1"/>
  <c r="F146" i="12"/>
  <c r="D146" i="12" s="1"/>
  <c r="F201" i="12"/>
  <c r="D201" i="12" s="1"/>
  <c r="F6" i="12"/>
  <c r="D6" i="12" s="1"/>
  <c r="F14" i="12"/>
  <c r="D14" i="12" s="1"/>
  <c r="F35" i="12"/>
  <c r="F59" i="12"/>
  <c r="D59" i="12" s="1"/>
  <c r="F75" i="12"/>
  <c r="D75" i="12" s="1"/>
  <c r="I4" i="12"/>
  <c r="I6" i="12"/>
  <c r="I10" i="12"/>
  <c r="I36" i="12"/>
  <c r="I77" i="12"/>
  <c r="I109" i="12"/>
  <c r="I149" i="12"/>
  <c r="I232" i="12"/>
  <c r="I186" i="12"/>
  <c r="I222" i="12"/>
  <c r="I244" i="12"/>
  <c r="I9" i="12"/>
  <c r="I17" i="12"/>
  <c r="I27" i="12"/>
  <c r="I44" i="12"/>
  <c r="I88" i="12"/>
  <c r="I102" i="12"/>
  <c r="I128" i="12"/>
  <c r="I180" i="12"/>
  <c r="I220" i="12"/>
  <c r="I158" i="12"/>
  <c r="I195" i="12"/>
  <c r="I218" i="12"/>
  <c r="I202" i="12"/>
  <c r="I251" i="12"/>
  <c r="I211" i="12"/>
  <c r="I59" i="12"/>
  <c r="I119" i="12"/>
  <c r="I138" i="12"/>
  <c r="I212" i="12"/>
  <c r="I152" i="12"/>
  <c r="I178" i="12"/>
  <c r="I205" i="12"/>
  <c r="I194" i="12"/>
  <c r="I227" i="12"/>
  <c r="I191" i="12"/>
  <c r="H241" i="12"/>
  <c r="I5" i="12"/>
  <c r="I11" i="12"/>
  <c r="I63" i="12"/>
  <c r="I74" i="12"/>
  <c r="I78" i="12"/>
  <c r="I91" i="12"/>
  <c r="I101" i="12"/>
  <c r="I105" i="12"/>
  <c r="I118" i="12"/>
  <c r="I129" i="12"/>
  <c r="I133" i="12"/>
  <c r="I146" i="12"/>
  <c r="I148" i="12"/>
  <c r="I164" i="12"/>
  <c r="I188" i="12"/>
  <c r="I196" i="12"/>
  <c r="I221" i="12"/>
  <c r="I241" i="12"/>
  <c r="I182" i="12"/>
  <c r="I203" i="12"/>
  <c r="I226" i="12"/>
  <c r="I234" i="12"/>
  <c r="I14" i="12"/>
  <c r="I24" i="12"/>
  <c r="I33" i="12"/>
  <c r="I41" i="12"/>
  <c r="I54" i="12"/>
  <c r="I60" i="12"/>
  <c r="I69" i="12"/>
  <c r="I120" i="12"/>
  <c r="I127" i="12"/>
  <c r="I139" i="12"/>
  <c r="I153" i="12"/>
  <c r="I181" i="12"/>
  <c r="I192" i="12"/>
  <c r="I217" i="12"/>
  <c r="I110" i="12"/>
  <c r="I126" i="12"/>
  <c r="I145" i="12"/>
  <c r="I155" i="12"/>
  <c r="I174" i="12"/>
  <c r="I185" i="12"/>
  <c r="I216" i="12"/>
  <c r="I117" i="12"/>
  <c r="I167" i="12"/>
  <c r="I228" i="12"/>
  <c r="I242" i="12"/>
  <c r="I249" i="12"/>
  <c r="I159" i="12"/>
  <c r="I176" i="12"/>
  <c r="I183" i="12"/>
  <c r="I198" i="12"/>
  <c r="I215" i="12"/>
  <c r="I231" i="12"/>
  <c r="I248" i="12"/>
  <c r="I13" i="12"/>
  <c r="I19" i="12"/>
  <c r="I23" i="12"/>
  <c r="I25" i="12"/>
  <c r="I34" i="12"/>
  <c r="I38" i="12"/>
  <c r="I42" i="12"/>
  <c r="I51" i="12"/>
  <c r="I55" i="12"/>
  <c r="I57" i="12"/>
  <c r="I61" i="12"/>
  <c r="I65" i="12"/>
  <c r="I70" i="12"/>
  <c r="I72" i="12"/>
  <c r="I76" i="12"/>
  <c r="I80" i="12"/>
  <c r="I89" i="12"/>
  <c r="I93" i="12"/>
  <c r="I97" i="12"/>
  <c r="I99" i="12"/>
  <c r="I103" i="12"/>
  <c r="I106" i="12"/>
  <c r="I116" i="12"/>
  <c r="I122" i="12"/>
  <c r="I135" i="12"/>
  <c r="I150" i="12"/>
  <c r="I160" i="12"/>
  <c r="I184" i="12"/>
  <c r="I213" i="12"/>
  <c r="I225" i="12"/>
  <c r="I121" i="12"/>
  <c r="I132" i="12"/>
  <c r="I151" i="12"/>
  <c r="I165" i="12"/>
  <c r="I193" i="12"/>
  <c r="I224" i="12"/>
  <c r="I154" i="12"/>
  <c r="I230" i="12"/>
  <c r="I243" i="12"/>
  <c r="I247" i="12"/>
  <c r="I8" i="12"/>
  <c r="I16" i="12"/>
  <c r="I20" i="12"/>
  <c r="I22" i="12"/>
  <c r="I26" i="12"/>
  <c r="I35" i="12"/>
  <c r="I39" i="12"/>
  <c r="I43" i="12"/>
  <c r="I52" i="12"/>
  <c r="I56" i="12"/>
  <c r="I58" i="12"/>
  <c r="I62" i="12"/>
  <c r="I66" i="12"/>
  <c r="I68" i="12"/>
  <c r="I71" i="12"/>
  <c r="I75" i="12"/>
  <c r="I79" i="12"/>
  <c r="I81" i="12"/>
  <c r="I90" i="12"/>
  <c r="I94" i="12"/>
  <c r="I96" i="12"/>
  <c r="I98" i="12"/>
  <c r="I100" i="12"/>
  <c r="I104" i="12"/>
  <c r="I130" i="12"/>
  <c r="I157" i="12"/>
  <c r="I189" i="12"/>
  <c r="I233" i="12"/>
  <c r="I179" i="12"/>
  <c r="I67" i="12"/>
  <c r="I87" i="12"/>
  <c r="I95" i="12"/>
  <c r="I108" i="12"/>
  <c r="I125" i="12"/>
  <c r="I137" i="12"/>
  <c r="I156" i="12"/>
  <c r="I177" i="12"/>
  <c r="I204" i="12"/>
  <c r="I229" i="12"/>
  <c r="I124" i="12"/>
  <c r="I162" i="12"/>
  <c r="I175" i="12"/>
  <c r="I190" i="12"/>
  <c r="I214" i="12"/>
  <c r="I250" i="12"/>
  <c r="I18" i="12"/>
  <c r="I37" i="12"/>
  <c r="I50" i="12"/>
  <c r="I64" i="12"/>
  <c r="I73" i="12"/>
  <c r="I131" i="12"/>
  <c r="I147" i="12"/>
  <c r="I168" i="12"/>
  <c r="I200" i="12"/>
  <c r="I107" i="12"/>
  <c r="I136" i="12"/>
  <c r="I161" i="12"/>
  <c r="I201" i="12"/>
  <c r="I246" i="12"/>
  <c r="H56" i="12"/>
  <c r="H104" i="12"/>
  <c r="H154" i="12"/>
  <c r="H177" i="12"/>
  <c r="H58" i="12"/>
  <c r="H99" i="12"/>
  <c r="H221" i="12"/>
  <c r="H174" i="12"/>
  <c r="H5" i="12"/>
  <c r="H124" i="12"/>
  <c r="H184" i="12"/>
  <c r="F200" i="12"/>
  <c r="D200" i="12" s="1"/>
  <c r="F204" i="12"/>
  <c r="D204" i="12" s="1"/>
  <c r="F213" i="12"/>
  <c r="D213" i="12" s="1"/>
  <c r="F217" i="12"/>
  <c r="D217" i="12" s="1"/>
  <c r="F221" i="12"/>
  <c r="D221" i="12" s="1"/>
  <c r="F230" i="12"/>
  <c r="D230" i="12" s="1"/>
  <c r="F50" i="12"/>
  <c r="D50" i="12" s="1"/>
  <c r="F78" i="12"/>
  <c r="D78" i="12" s="1"/>
  <c r="F164" i="12"/>
  <c r="D164" i="12" s="1"/>
  <c r="F227" i="12"/>
  <c r="D227" i="12" s="1"/>
  <c r="F7" i="12"/>
  <c r="D7" i="12" s="1"/>
  <c r="F24" i="12"/>
  <c r="D24" i="12" s="1"/>
  <c r="F41" i="12"/>
  <c r="H65" i="12"/>
  <c r="H128" i="12"/>
  <c r="H153" i="12"/>
  <c r="H175" i="12"/>
  <c r="H39" i="12"/>
  <c r="H67" i="12"/>
  <c r="H93" i="12"/>
  <c r="H203" i="12"/>
  <c r="H227" i="12"/>
  <c r="H161" i="12"/>
  <c r="H243" i="12"/>
  <c r="H134" i="12"/>
  <c r="H178" i="12"/>
  <c r="H214" i="12"/>
  <c r="H40" i="12"/>
  <c r="H78" i="12"/>
  <c r="H118" i="12"/>
  <c r="H146" i="12"/>
  <c r="H164" i="12"/>
  <c r="H23" i="12"/>
  <c r="H52" i="12"/>
  <c r="H87" i="12"/>
  <c r="H108" i="12"/>
  <c r="H213" i="12"/>
  <c r="H247" i="12"/>
  <c r="H219" i="12"/>
  <c r="H10" i="12"/>
  <c r="H166" i="12"/>
  <c r="H194" i="12"/>
  <c r="H223" i="12"/>
  <c r="H33" i="12"/>
  <c r="H92" i="12"/>
  <c r="H145" i="12"/>
  <c r="H157" i="12"/>
  <c r="H34" i="12"/>
  <c r="H73" i="12"/>
  <c r="H119" i="12"/>
  <c r="H240" i="12"/>
  <c r="H228" i="12"/>
  <c r="H156" i="12"/>
  <c r="H200" i="12"/>
  <c r="H162" i="12"/>
  <c r="H180" i="12"/>
  <c r="H186" i="12"/>
  <c r="H192" i="12"/>
  <c r="H198" i="12"/>
  <c r="H211" i="12"/>
  <c r="H220" i="12"/>
  <c r="H230" i="12"/>
  <c r="H248" i="12"/>
  <c r="H7" i="12"/>
  <c r="H13" i="12"/>
  <c r="H17" i="12"/>
  <c r="H21" i="12"/>
  <c r="H25" i="12"/>
  <c r="H27" i="12"/>
  <c r="H36" i="12"/>
  <c r="H41" i="12"/>
  <c r="H44" i="12"/>
  <c r="H55" i="12"/>
  <c r="H61" i="12"/>
  <c r="H64" i="12"/>
  <c r="H70" i="12"/>
  <c r="H76" i="12"/>
  <c r="H79" i="12"/>
  <c r="H90" i="12"/>
  <c r="H96" i="12"/>
  <c r="H102" i="12"/>
  <c r="H116" i="12"/>
  <c r="H132" i="12"/>
  <c r="H75" i="12"/>
  <c r="H110" i="12"/>
  <c r="H151" i="12"/>
  <c r="H188" i="12"/>
  <c r="H226" i="12"/>
  <c r="H4" i="12"/>
  <c r="H19" i="12"/>
  <c r="H181" i="12"/>
  <c r="H185" i="12"/>
  <c r="H189" i="12"/>
  <c r="H191" i="12"/>
  <c r="H195" i="12"/>
  <c r="H199" i="12"/>
  <c r="H201" i="12"/>
  <c r="H205" i="12"/>
  <c r="H215" i="12"/>
  <c r="H218" i="12"/>
  <c r="H224" i="12"/>
  <c r="H229" i="12"/>
  <c r="H232" i="12"/>
  <c r="H244" i="12"/>
  <c r="H152" i="12"/>
  <c r="H158" i="12"/>
  <c r="H165" i="12"/>
  <c r="H212" i="12"/>
  <c r="H222" i="12"/>
  <c r="H231" i="12"/>
  <c r="H234" i="12"/>
  <c r="H246" i="12"/>
  <c r="H8" i="12"/>
  <c r="H12" i="12"/>
  <c r="H16" i="12"/>
  <c r="H22" i="12"/>
  <c r="H26" i="12"/>
  <c r="H35" i="12"/>
  <c r="H43" i="12"/>
  <c r="H59" i="12"/>
  <c r="H95" i="12"/>
  <c r="H137" i="12"/>
  <c r="H176" i="12"/>
  <c r="H196" i="12"/>
  <c r="H233" i="12"/>
  <c r="H6" i="12"/>
  <c r="H129" i="12"/>
  <c r="H135" i="12"/>
  <c r="H150" i="12"/>
  <c r="H160" i="12"/>
  <c r="H167" i="12"/>
  <c r="H179" i="12"/>
  <c r="H183" i="12"/>
  <c r="H187" i="12"/>
  <c r="H193" i="12"/>
  <c r="H197" i="12"/>
  <c r="H98" i="12"/>
  <c r="H60" i="12"/>
  <c r="H69" i="12"/>
  <c r="H74" i="12"/>
  <c r="H80" i="12"/>
  <c r="H94" i="12"/>
  <c r="H100" i="12"/>
  <c r="H106" i="12"/>
  <c r="H120" i="12"/>
  <c r="H123" i="12"/>
  <c r="H130" i="12"/>
  <c r="H139" i="12"/>
  <c r="H147" i="12"/>
  <c r="H155" i="12"/>
  <c r="H225" i="12"/>
  <c r="H242" i="12"/>
  <c r="H20" i="12"/>
  <c r="H125" i="12"/>
  <c r="H138" i="12"/>
  <c r="H81" i="12"/>
  <c r="H131" i="12"/>
  <c r="H159" i="12"/>
  <c r="H190" i="12"/>
  <c r="H217" i="12"/>
  <c r="H245" i="12"/>
  <c r="H18" i="12"/>
  <c r="H24" i="12"/>
  <c r="H37" i="12"/>
  <c r="H50" i="12"/>
  <c r="H62" i="12"/>
  <c r="H71" i="12"/>
  <c r="H89" i="12"/>
  <c r="H107" i="12"/>
  <c r="H66" i="12"/>
  <c r="H77" i="12"/>
  <c r="H91" i="12"/>
  <c r="H103" i="12"/>
  <c r="H117" i="12"/>
  <c r="H127" i="12"/>
  <c r="H136" i="12"/>
  <c r="H149" i="12"/>
  <c r="H216" i="12"/>
  <c r="H14" i="12"/>
  <c r="H122" i="12"/>
  <c r="H68" i="12"/>
  <c r="H121" i="12"/>
  <c r="H182" i="12"/>
  <c r="H204" i="12"/>
  <c r="H15" i="12"/>
  <c r="H250" i="12"/>
  <c r="H9" i="12"/>
  <c r="H38" i="12"/>
  <c r="H42" i="12"/>
  <c r="H51" i="12"/>
  <c r="H54" i="12"/>
  <c r="H57" i="12"/>
  <c r="H63" i="12"/>
  <c r="H72" i="12"/>
  <c r="H88" i="12"/>
  <c r="H97" i="12"/>
  <c r="H109" i="12"/>
  <c r="H126" i="12"/>
  <c r="H133" i="12"/>
  <c r="H148" i="12"/>
  <c r="H163" i="12"/>
  <c r="H249" i="12"/>
  <c r="H105" i="12"/>
  <c r="H53" i="12"/>
  <c r="H101" i="12"/>
  <c r="H168" i="12"/>
  <c r="H202" i="12"/>
  <c r="H11" i="12"/>
  <c r="D16" i="12"/>
  <c r="D18" i="12"/>
  <c r="D20" i="12"/>
  <c r="D23" i="12"/>
  <c r="D26" i="12"/>
  <c r="G110" i="12"/>
  <c r="F194" i="12"/>
  <c r="D194" i="12" s="1"/>
  <c r="F168" i="12"/>
  <c r="D168" i="12" s="1"/>
  <c r="F218" i="12"/>
  <c r="D218" i="12" s="1"/>
  <c r="F231" i="12"/>
  <c r="D231" i="12" s="1"/>
  <c r="F137" i="12"/>
  <c r="D137" i="12" s="1"/>
  <c r="F63" i="12"/>
  <c r="D63" i="12" s="1"/>
  <c r="F71" i="12"/>
  <c r="D71" i="12" s="1"/>
  <c r="F79" i="12"/>
  <c r="D79" i="12" s="1"/>
  <c r="F92" i="12"/>
  <c r="D92" i="12" s="1"/>
  <c r="F96" i="12"/>
  <c r="D96" i="12" s="1"/>
  <c r="F100" i="12"/>
  <c r="D100" i="12" s="1"/>
  <c r="F104" i="12"/>
  <c r="D104" i="12" s="1"/>
  <c r="F107" i="12"/>
  <c r="D107" i="12" s="1"/>
  <c r="F116" i="12"/>
  <c r="D116" i="12" s="1"/>
  <c r="F120" i="12"/>
  <c r="D120" i="12" s="1"/>
  <c r="F160" i="12"/>
  <c r="D160" i="12" s="1"/>
  <c r="F167" i="12"/>
  <c r="D167" i="12" s="1"/>
  <c r="F179" i="12"/>
  <c r="D179" i="12" s="1"/>
  <c r="F183" i="12"/>
  <c r="D183" i="12" s="1"/>
  <c r="E212" i="12"/>
  <c r="E177" i="12"/>
  <c r="G177" i="12" s="1"/>
  <c r="E250" i="12"/>
  <c r="E54" i="12"/>
  <c r="G54" i="12" s="1"/>
  <c r="E118" i="12"/>
  <c r="E89" i="12"/>
  <c r="E163" i="12"/>
  <c r="G163" i="12" s="1"/>
  <c r="E219" i="12"/>
  <c r="G219" i="12" s="1"/>
  <c r="E55" i="12"/>
  <c r="G55" i="12" s="1"/>
  <c r="E227" i="12"/>
  <c r="E196" i="12"/>
  <c r="G196" i="12" s="1"/>
  <c r="E220" i="12"/>
  <c r="G220" i="12" s="1"/>
  <c r="E23" i="12"/>
  <c r="G23" i="12" s="1"/>
  <c r="E71" i="12"/>
  <c r="E94" i="12"/>
  <c r="G94" i="12" s="1"/>
  <c r="E147" i="12"/>
  <c r="G147" i="12" s="1"/>
  <c r="E124" i="12"/>
  <c r="G124" i="12" s="1"/>
  <c r="E149" i="12"/>
  <c r="G149" i="12" s="1"/>
  <c r="E192" i="12"/>
  <c r="G192" i="12" s="1"/>
  <c r="E249" i="12"/>
  <c r="G249" i="12" s="1"/>
  <c r="E17" i="12"/>
  <c r="E75" i="12"/>
  <c r="G75" i="12" s="1"/>
  <c r="E135" i="12"/>
  <c r="G135" i="12" s="1"/>
  <c r="E100" i="12"/>
  <c r="E125" i="12"/>
  <c r="G125" i="12" s="1"/>
  <c r="E145" i="12"/>
  <c r="G145" i="12" s="1"/>
  <c r="E162" i="12"/>
  <c r="E176" i="12"/>
  <c r="G176" i="12" s="1"/>
  <c r="E185" i="12"/>
  <c r="E195" i="12"/>
  <c r="E205" i="12"/>
  <c r="G205" i="12" s="1"/>
  <c r="E221" i="12"/>
  <c r="E231" i="12"/>
  <c r="E159" i="12"/>
  <c r="E183" i="12"/>
  <c r="E166" i="12"/>
  <c r="G166" i="12" s="1"/>
  <c r="E248" i="12"/>
  <c r="E5" i="12"/>
  <c r="E14" i="12"/>
  <c r="E21" i="12"/>
  <c r="E26" i="12"/>
  <c r="G26" i="12" s="1"/>
  <c r="E37" i="12"/>
  <c r="G37" i="12" s="1"/>
  <c r="E42" i="12"/>
  <c r="E52" i="12"/>
  <c r="G52" i="12" s="1"/>
  <c r="E57" i="12"/>
  <c r="E63" i="12"/>
  <c r="E69" i="12"/>
  <c r="G69" i="12" s="1"/>
  <c r="E74" i="12"/>
  <c r="G74" i="12" s="1"/>
  <c r="E80" i="12"/>
  <c r="G80" i="12" s="1"/>
  <c r="E90" i="12"/>
  <c r="G90" i="12" s="1"/>
  <c r="E96" i="12"/>
  <c r="E101" i="12"/>
  <c r="F148" i="12"/>
  <c r="D148" i="12" s="1"/>
  <c r="F154" i="12"/>
  <c r="D154" i="12" s="1"/>
  <c r="F162" i="12"/>
  <c r="D162" i="12" s="1"/>
  <c r="F175" i="12"/>
  <c r="D175" i="12" s="1"/>
  <c r="F182" i="12"/>
  <c r="D182" i="12" s="1"/>
  <c r="F191" i="12"/>
  <c r="D191" i="12" s="1"/>
  <c r="F199" i="12"/>
  <c r="D199" i="12" s="1"/>
  <c r="F212" i="12"/>
  <c r="D212" i="12" s="1"/>
  <c r="F156" i="12"/>
  <c r="D156" i="12" s="1"/>
  <c r="F72" i="12"/>
  <c r="D72" i="12" s="1"/>
  <c r="F89" i="12"/>
  <c r="D89" i="12" s="1"/>
  <c r="F57" i="12"/>
  <c r="D57" i="12" s="1"/>
  <c r="F95" i="12"/>
  <c r="D95" i="12" s="1"/>
  <c r="F226" i="12"/>
  <c r="D226" i="12" s="1"/>
  <c r="F229" i="12"/>
  <c r="D229" i="12" s="1"/>
  <c r="F233" i="12"/>
  <c r="D233" i="12" s="1"/>
  <c r="F242" i="12"/>
  <c r="D242" i="12" s="1"/>
  <c r="F246" i="12"/>
  <c r="D246" i="12" s="1"/>
  <c r="F250" i="12"/>
  <c r="D250" i="12" s="1"/>
  <c r="F12" i="12"/>
  <c r="F15" i="12"/>
  <c r="F185" i="12"/>
  <c r="D185" i="12" s="1"/>
  <c r="F211" i="12"/>
  <c r="D211" i="12" s="1"/>
  <c r="F248" i="12"/>
  <c r="D248" i="12" s="1"/>
  <c r="F97" i="12"/>
  <c r="D97" i="12" s="1"/>
  <c r="F101" i="12"/>
  <c r="D101" i="12" s="1"/>
  <c r="F105" i="12"/>
  <c r="D105" i="12" s="1"/>
  <c r="F109" i="12"/>
  <c r="D109" i="12" s="1"/>
  <c r="F118" i="12"/>
  <c r="D118" i="12" s="1"/>
  <c r="F102" i="12"/>
  <c r="D102" i="12" s="1"/>
  <c r="F123" i="12"/>
  <c r="D123" i="12" s="1"/>
  <c r="F151" i="12"/>
  <c r="D151" i="12" s="1"/>
  <c r="F178" i="12"/>
  <c r="D178" i="12" s="1"/>
  <c r="F195" i="12"/>
  <c r="D195" i="12" s="1"/>
  <c r="F224" i="12"/>
  <c r="D224" i="12" s="1"/>
  <c r="F10" i="12"/>
  <c r="F4" i="12"/>
  <c r="F5" i="12"/>
  <c r="F8" i="12"/>
  <c r="F17" i="12"/>
  <c r="F22" i="12"/>
  <c r="F27" i="12"/>
  <c r="F103" i="12"/>
  <c r="D103" i="12" s="1"/>
  <c r="F129" i="12"/>
  <c r="D129" i="12" s="1"/>
  <c r="F159" i="12"/>
  <c r="D159" i="12" s="1"/>
  <c r="F181" i="12"/>
  <c r="D181" i="12" s="1"/>
  <c r="E180" i="12"/>
  <c r="G180" i="12" s="1"/>
  <c r="E190" i="12"/>
  <c r="G190" i="12" s="1"/>
  <c r="E200" i="12"/>
  <c r="G200" i="12" s="1"/>
  <c r="E215" i="12"/>
  <c r="G215" i="12" s="1"/>
  <c r="E226" i="12"/>
  <c r="E241" i="12"/>
  <c r="G241" i="12" s="1"/>
  <c r="E175" i="12"/>
  <c r="E193" i="12"/>
  <c r="G193" i="12" s="1"/>
  <c r="E246" i="12"/>
  <c r="E251" i="12"/>
  <c r="G251" i="12" s="1"/>
  <c r="E6" i="12"/>
  <c r="E202" i="12"/>
  <c r="G202" i="12" s="1"/>
  <c r="E222" i="12"/>
  <c r="G222" i="12" s="1"/>
  <c r="E243" i="12"/>
  <c r="G243" i="12" s="1"/>
  <c r="E186" i="12"/>
  <c r="G186" i="12" s="1"/>
  <c r="E216" i="12"/>
  <c r="G216" i="12" s="1"/>
  <c r="E240" i="12"/>
  <c r="G240" i="12" s="1"/>
  <c r="E16" i="12"/>
  <c r="G16" i="12" s="1"/>
  <c r="E35" i="12"/>
  <c r="E62" i="12"/>
  <c r="G62" i="12" s="1"/>
  <c r="E78" i="12"/>
  <c r="E104" i="12"/>
  <c r="E128" i="12"/>
  <c r="G128" i="12" s="1"/>
  <c r="E153" i="12"/>
  <c r="G153" i="12" s="1"/>
  <c r="E174" i="12"/>
  <c r="G174" i="12" s="1"/>
  <c r="E199" i="12"/>
  <c r="E223" i="12"/>
  <c r="G223" i="12" s="1"/>
  <c r="E8" i="12"/>
  <c r="E97" i="12"/>
  <c r="E9" i="12"/>
  <c r="E130" i="12"/>
  <c r="E107" i="12"/>
  <c r="E188" i="12"/>
  <c r="G188" i="12" s="1"/>
  <c r="E181" i="12"/>
  <c r="E67" i="12"/>
  <c r="G67" i="12" s="1"/>
  <c r="E213" i="12"/>
  <c r="E108" i="12"/>
  <c r="G108" i="12" s="1"/>
  <c r="E203" i="12"/>
  <c r="G203" i="12" s="1"/>
  <c r="E70" i="12"/>
  <c r="G70" i="12" s="1"/>
  <c r="E7" i="12"/>
  <c r="E34" i="12"/>
  <c r="G34" i="12" s="1"/>
  <c r="E66" i="12"/>
  <c r="G66" i="12" s="1"/>
  <c r="E126" i="12"/>
  <c r="G126" i="12" s="1"/>
  <c r="E161" i="12"/>
  <c r="G161" i="12" s="1"/>
  <c r="E194" i="12"/>
  <c r="E217" i="12"/>
  <c r="E247" i="12"/>
  <c r="G247" i="12" s="1"/>
  <c r="E33" i="12"/>
  <c r="G33" i="12" s="1"/>
  <c r="E64" i="12"/>
  <c r="G64" i="12" s="1"/>
  <c r="E167" i="12"/>
  <c r="E225" i="12"/>
  <c r="G225" i="12" s="1"/>
  <c r="E25" i="12"/>
  <c r="E76" i="12"/>
  <c r="G76" i="12" s="1"/>
  <c r="E99" i="12"/>
  <c r="G99" i="12" s="1"/>
  <c r="E150" i="12"/>
  <c r="G150" i="12" s="1"/>
  <c r="E204" i="12"/>
  <c r="E232" i="12"/>
  <c r="G232" i="12" s="1"/>
  <c r="E58" i="12"/>
  <c r="G58" i="12" s="1"/>
  <c r="E119" i="12"/>
  <c r="G119" i="12" s="1"/>
  <c r="E168" i="12"/>
  <c r="E214" i="12"/>
  <c r="G214" i="12" s="1"/>
  <c r="E36" i="12"/>
  <c r="E92" i="12"/>
  <c r="E129" i="12"/>
  <c r="E224" i="12"/>
  <c r="E105" i="12"/>
  <c r="E98" i="12"/>
  <c r="G98" i="12" s="1"/>
  <c r="E146" i="12"/>
  <c r="G146" i="12" s="1"/>
  <c r="E198" i="12"/>
  <c r="G198" i="12" s="1"/>
  <c r="E201" i="12"/>
  <c r="G201" i="12" s="1"/>
  <c r="E93" i="12"/>
  <c r="G93" i="12" s="1"/>
  <c r="E189" i="12"/>
  <c r="G189" i="12" s="1"/>
  <c r="E53" i="12"/>
  <c r="G53" i="12" s="1"/>
  <c r="E182" i="12"/>
  <c r="E60" i="12"/>
  <c r="G60" i="12" s="1"/>
  <c r="E156" i="12"/>
  <c r="E19" i="12"/>
  <c r="E50" i="12"/>
  <c r="E102" i="12"/>
  <c r="E122" i="12"/>
  <c r="G122" i="12" s="1"/>
  <c r="E138" i="12"/>
  <c r="G138" i="12" s="1"/>
  <c r="E151" i="12"/>
  <c r="E191" i="12"/>
  <c r="E245" i="12"/>
  <c r="G245" i="12" s="1"/>
  <c r="E59" i="12"/>
  <c r="E123" i="12"/>
  <c r="E164" i="12"/>
  <c r="E13" i="12"/>
  <c r="E73" i="12"/>
  <c r="G73" i="12" s="1"/>
  <c r="E154" i="12"/>
  <c r="E229" i="12"/>
  <c r="E41" i="12"/>
  <c r="E152" i="12"/>
  <c r="G152" i="12" s="1"/>
  <c r="E22" i="12"/>
  <c r="E87" i="12"/>
  <c r="G87" i="12" s="1"/>
  <c r="E165" i="12"/>
  <c r="G165" i="12" s="1"/>
  <c r="E230" i="12"/>
  <c r="E109" i="12"/>
  <c r="E79" i="12"/>
  <c r="E234" i="12"/>
  <c r="G234" i="12" s="1"/>
  <c r="E91" i="12"/>
  <c r="G91" i="12" s="1"/>
  <c r="E244" i="12"/>
  <c r="G244" i="12" s="1"/>
  <c r="E38" i="12"/>
  <c r="E178" i="12"/>
  <c r="E51" i="12"/>
  <c r="G51" i="12" s="1"/>
  <c r="E56" i="12"/>
  <c r="G56" i="12" s="1"/>
  <c r="E121" i="12"/>
  <c r="G121" i="12" s="1"/>
  <c r="E179" i="12"/>
  <c r="E233" i="12"/>
  <c r="E44" i="12"/>
  <c r="E157" i="12"/>
  <c r="G157" i="12" s="1"/>
  <c r="E20" i="12"/>
  <c r="G20" i="12" s="1"/>
  <c r="E158" i="12"/>
  <c r="G158" i="12" s="1"/>
  <c r="E27" i="12"/>
  <c r="E120" i="12"/>
  <c r="E24" i="12"/>
  <c r="E61" i="12"/>
  <c r="G61" i="12" s="1"/>
  <c r="E116" i="12"/>
  <c r="E106" i="12"/>
  <c r="G106" i="12" s="1"/>
  <c r="E117" i="12"/>
  <c r="G117" i="12" s="1"/>
  <c r="E127" i="12"/>
  <c r="G127" i="12" s="1"/>
  <c r="E132" i="12"/>
  <c r="G132" i="12" s="1"/>
  <c r="E148" i="12"/>
  <c r="E155" i="12"/>
  <c r="G155" i="12" s="1"/>
  <c r="E160" i="12"/>
  <c r="E211" i="12"/>
  <c r="E12" i="12"/>
  <c r="E39" i="12"/>
  <c r="G39" i="12" s="1"/>
  <c r="E88" i="12"/>
  <c r="G88" i="12" s="1"/>
  <c r="E133" i="12"/>
  <c r="G133" i="12" s="1"/>
  <c r="E184" i="12"/>
  <c r="G184" i="12" s="1"/>
  <c r="E228" i="12"/>
  <c r="G228" i="12" s="1"/>
  <c r="E43" i="12"/>
  <c r="G43" i="12" s="1"/>
  <c r="E103" i="12"/>
  <c r="E139" i="12"/>
  <c r="G139" i="12" s="1"/>
  <c r="E187" i="12"/>
  <c r="G187" i="12" s="1"/>
  <c r="E15" i="12"/>
  <c r="E65" i="12"/>
  <c r="G65" i="12" s="1"/>
  <c r="E68" i="12"/>
  <c r="G68" i="12" s="1"/>
  <c r="E197" i="12"/>
  <c r="G197" i="12" s="1"/>
  <c r="E81" i="12"/>
  <c r="G81" i="12" s="1"/>
  <c r="E72" i="12"/>
  <c r="E131" i="12"/>
  <c r="G131" i="12" s="1"/>
  <c r="E218" i="12"/>
  <c r="E4" i="12"/>
  <c r="E18" i="12"/>
  <c r="G18" i="12" s="1"/>
  <c r="E137" i="12"/>
  <c r="E242" i="12"/>
  <c r="E134" i="12"/>
  <c r="G134" i="12" s="1"/>
  <c r="E10" i="12"/>
  <c r="E95" i="12"/>
  <c r="E11" i="12"/>
  <c r="E40" i="12"/>
  <c r="G40" i="12" s="1"/>
  <c r="E77" i="12"/>
  <c r="G77" i="12" s="1"/>
  <c r="E136" i="12"/>
  <c r="C23" i="8"/>
  <c r="D22" i="8"/>
  <c r="D23" i="8" s="1"/>
  <c r="C24" i="8" s="1"/>
  <c r="D97" i="8"/>
  <c r="D98" i="8" s="1"/>
  <c r="C99" i="8" s="1"/>
  <c r="C98" i="8"/>
  <c r="D207" i="8"/>
  <c r="D208" i="8" s="1"/>
  <c r="C209" i="8" s="1"/>
  <c r="C208" i="8"/>
  <c r="C266" i="8"/>
  <c r="C267" i="8" s="1"/>
  <c r="D265" i="8"/>
  <c r="D266" i="8" s="1"/>
  <c r="D267" i="8" s="1"/>
  <c r="C268" i="8" s="1"/>
  <c r="C161" i="8"/>
  <c r="D160" i="8"/>
  <c r="D161" i="8" s="1"/>
  <c r="C162" i="8" s="1"/>
  <c r="G21" i="12" l="1"/>
  <c r="G25" i="12"/>
  <c r="G42" i="12"/>
  <c r="G9" i="12"/>
  <c r="G36" i="12"/>
  <c r="G19" i="12"/>
  <c r="G13" i="12"/>
  <c r="G38" i="12"/>
  <c r="G44" i="12"/>
  <c r="G11" i="12"/>
  <c r="J251" i="12"/>
  <c r="J116" i="12"/>
  <c r="J243" i="12"/>
  <c r="J241" i="12"/>
  <c r="J249" i="12"/>
  <c r="J248" i="12"/>
  <c r="J246" i="12"/>
  <c r="J250" i="12"/>
  <c r="J240" i="12"/>
  <c r="J245" i="12"/>
  <c r="J244" i="12"/>
  <c r="J242" i="12"/>
  <c r="J247" i="12"/>
  <c r="C247" i="12" s="1"/>
  <c r="J225" i="12"/>
  <c r="J213" i="12"/>
  <c r="J214" i="12"/>
  <c r="J234" i="12"/>
  <c r="J231" i="12"/>
  <c r="J227" i="12"/>
  <c r="J221" i="12"/>
  <c r="J226" i="12"/>
  <c r="J228" i="12"/>
  <c r="J230" i="12"/>
  <c r="J232" i="12"/>
  <c r="J222" i="12"/>
  <c r="J220" i="12"/>
  <c r="J211" i="12"/>
  <c r="J215" i="12"/>
  <c r="J218" i="12"/>
  <c r="J212" i="12"/>
  <c r="J217" i="12"/>
  <c r="J216" i="12"/>
  <c r="J233" i="12"/>
  <c r="J229" i="12"/>
  <c r="J223" i="12"/>
  <c r="J219" i="12"/>
  <c r="J224" i="12"/>
  <c r="J203" i="12"/>
  <c r="J175" i="12"/>
  <c r="J178" i="12"/>
  <c r="J205" i="12"/>
  <c r="J194" i="12"/>
  <c r="J191" i="12"/>
  <c r="J188" i="12"/>
  <c r="J196" i="12"/>
  <c r="J182" i="12"/>
  <c r="J174" i="12"/>
  <c r="J183" i="12"/>
  <c r="J200" i="12"/>
  <c r="J184" i="12"/>
  <c r="J193" i="12"/>
  <c r="J189" i="12"/>
  <c r="J179" i="12"/>
  <c r="J177" i="12"/>
  <c r="J204" i="12"/>
  <c r="J190" i="12"/>
  <c r="J201" i="12"/>
  <c r="J199" i="12"/>
  <c r="J195" i="12"/>
  <c r="J202" i="12"/>
  <c r="J181" i="12"/>
  <c r="J197" i="12"/>
  <c r="J187" i="12"/>
  <c r="J186" i="12"/>
  <c r="J180" i="12"/>
  <c r="J192" i="12"/>
  <c r="J185" i="12"/>
  <c r="J176" i="12"/>
  <c r="J198" i="12"/>
  <c r="J148" i="12"/>
  <c r="J161" i="12"/>
  <c r="J150" i="12"/>
  <c r="J160" i="12"/>
  <c r="J151" i="12"/>
  <c r="J165" i="12"/>
  <c r="J154" i="12"/>
  <c r="J156" i="12"/>
  <c r="J168" i="12"/>
  <c r="J158" i="12"/>
  <c r="J146" i="12"/>
  <c r="C146" i="12" s="1"/>
  <c r="J164" i="12"/>
  <c r="J153" i="12"/>
  <c r="J167" i="12"/>
  <c r="J159" i="12"/>
  <c r="J162" i="12"/>
  <c r="J147" i="12"/>
  <c r="J163" i="12"/>
  <c r="J149" i="12"/>
  <c r="J152" i="12"/>
  <c r="J145" i="12"/>
  <c r="C145" i="12" s="1"/>
  <c r="J166" i="12"/>
  <c r="J155" i="12"/>
  <c r="J157" i="12"/>
  <c r="J137" i="12"/>
  <c r="J132" i="12"/>
  <c r="J124" i="12"/>
  <c r="J129" i="12"/>
  <c r="J126" i="12"/>
  <c r="J125" i="12"/>
  <c r="J127" i="12"/>
  <c r="J122" i="12"/>
  <c r="J135" i="12"/>
  <c r="J121" i="12"/>
  <c r="J131" i="12"/>
  <c r="J136" i="12"/>
  <c r="J119" i="12"/>
  <c r="J139" i="12"/>
  <c r="J117" i="12"/>
  <c r="J123" i="12"/>
  <c r="J128" i="12"/>
  <c r="J133" i="12"/>
  <c r="J134" i="12"/>
  <c r="J138" i="12"/>
  <c r="J118" i="12"/>
  <c r="J120" i="12"/>
  <c r="J130" i="12"/>
  <c r="J110" i="12"/>
  <c r="J90" i="12"/>
  <c r="J104" i="12"/>
  <c r="J96" i="12"/>
  <c r="J102" i="12"/>
  <c r="J91" i="12"/>
  <c r="J101" i="12"/>
  <c r="J105" i="12"/>
  <c r="J108" i="12"/>
  <c r="J89" i="12"/>
  <c r="J93" i="12"/>
  <c r="J97" i="12"/>
  <c r="J99" i="12"/>
  <c r="J103" i="12"/>
  <c r="J106" i="12"/>
  <c r="J100" i="12"/>
  <c r="J87" i="12"/>
  <c r="J107" i="12"/>
  <c r="J88" i="12"/>
  <c r="J94" i="12"/>
  <c r="J98" i="12"/>
  <c r="J92" i="12"/>
  <c r="J109" i="12"/>
  <c r="J95" i="12"/>
  <c r="G6" i="12"/>
  <c r="J54" i="12"/>
  <c r="J79" i="12"/>
  <c r="J68" i="12"/>
  <c r="J66" i="12"/>
  <c r="J64" i="12"/>
  <c r="J73" i="12"/>
  <c r="J77" i="12"/>
  <c r="J59" i="12"/>
  <c r="J63" i="12"/>
  <c r="J74" i="12"/>
  <c r="J78" i="12"/>
  <c r="J60" i="12"/>
  <c r="J69" i="12"/>
  <c r="J51" i="12"/>
  <c r="J55" i="12"/>
  <c r="J57" i="12"/>
  <c r="J61" i="12"/>
  <c r="J65" i="12"/>
  <c r="J70" i="12"/>
  <c r="J72" i="12"/>
  <c r="J76" i="12"/>
  <c r="J80" i="12"/>
  <c r="J52" i="12"/>
  <c r="J56" i="12"/>
  <c r="J58" i="12"/>
  <c r="J62" i="12"/>
  <c r="J71" i="12"/>
  <c r="J75" i="12"/>
  <c r="J81" i="12"/>
  <c r="J67" i="12"/>
  <c r="J50" i="12"/>
  <c r="J53" i="12"/>
  <c r="J44" i="12"/>
  <c r="J41" i="12"/>
  <c r="J42" i="12"/>
  <c r="J35" i="12"/>
  <c r="J39" i="12"/>
  <c r="J43" i="12"/>
  <c r="J37" i="12"/>
  <c r="J33" i="12"/>
  <c r="J34" i="12"/>
  <c r="J40" i="12"/>
  <c r="J36" i="12"/>
  <c r="J38" i="12"/>
  <c r="J15" i="12"/>
  <c r="D35" i="12"/>
  <c r="G35" i="12"/>
  <c r="D41" i="12"/>
  <c r="G41" i="12"/>
  <c r="J13" i="12"/>
  <c r="J25" i="12"/>
  <c r="J7" i="12"/>
  <c r="J21" i="12"/>
  <c r="J4" i="12"/>
  <c r="J10" i="12"/>
  <c r="J17" i="12"/>
  <c r="J23" i="12"/>
  <c r="J20" i="12"/>
  <c r="J5" i="12"/>
  <c r="J11" i="12"/>
  <c r="J14" i="12"/>
  <c r="J24" i="12"/>
  <c r="J8" i="12"/>
  <c r="J16" i="12"/>
  <c r="J26" i="12"/>
  <c r="J18" i="12"/>
  <c r="J12" i="12"/>
  <c r="J6" i="12"/>
  <c r="J9" i="12"/>
  <c r="J27" i="12"/>
  <c r="J19" i="12"/>
  <c r="J22" i="12"/>
  <c r="G221" i="12"/>
  <c r="G217" i="12"/>
  <c r="G204" i="12"/>
  <c r="G227" i="12"/>
  <c r="G14" i="12"/>
  <c r="G78" i="12"/>
  <c r="G130" i="12"/>
  <c r="G213" i="12"/>
  <c r="G7" i="12"/>
  <c r="G59" i="12"/>
  <c r="G164" i="12"/>
  <c r="G230" i="12"/>
  <c r="G24" i="12"/>
  <c r="G136" i="12"/>
  <c r="G50" i="12"/>
  <c r="G194" i="12"/>
  <c r="G168" i="12"/>
  <c r="G218" i="12"/>
  <c r="G231" i="12"/>
  <c r="G137" i="12"/>
  <c r="G63" i="12"/>
  <c r="G71" i="12"/>
  <c r="G79" i="12"/>
  <c r="G92" i="12"/>
  <c r="G96" i="12"/>
  <c r="G100" i="12"/>
  <c r="G104" i="12"/>
  <c r="G107" i="12"/>
  <c r="G116" i="12"/>
  <c r="G120" i="12"/>
  <c r="G160" i="12"/>
  <c r="G167" i="12"/>
  <c r="G179" i="12"/>
  <c r="G183" i="12"/>
  <c r="G148" i="12"/>
  <c r="G154" i="12"/>
  <c r="G162" i="12"/>
  <c r="G175" i="12"/>
  <c r="G182" i="12"/>
  <c r="G191" i="12"/>
  <c r="G199" i="12"/>
  <c r="G212" i="12"/>
  <c r="G156" i="12"/>
  <c r="G72" i="12"/>
  <c r="G89" i="12"/>
  <c r="G57" i="12"/>
  <c r="G95" i="12"/>
  <c r="G226" i="12"/>
  <c r="G229" i="12"/>
  <c r="G233" i="12"/>
  <c r="G242" i="12"/>
  <c r="G246" i="12"/>
  <c r="G250" i="12"/>
  <c r="D12" i="12"/>
  <c r="G12" i="12"/>
  <c r="D15" i="12"/>
  <c r="G15" i="12"/>
  <c r="G185" i="12"/>
  <c r="G211" i="12"/>
  <c r="G248" i="12"/>
  <c r="G97" i="12"/>
  <c r="G101" i="12"/>
  <c r="G105" i="12"/>
  <c r="G109" i="12"/>
  <c r="G118" i="12"/>
  <c r="G102" i="12"/>
  <c r="G123" i="12"/>
  <c r="G151" i="12"/>
  <c r="G178" i="12"/>
  <c r="G195" i="12"/>
  <c r="G224" i="12"/>
  <c r="D10" i="12"/>
  <c r="G10" i="12"/>
  <c r="D4" i="12"/>
  <c r="G4" i="12"/>
  <c r="D5" i="12"/>
  <c r="G5" i="12"/>
  <c r="D8" i="12"/>
  <c r="G8" i="12"/>
  <c r="D17" i="12"/>
  <c r="G17" i="12"/>
  <c r="D22" i="12"/>
  <c r="G22" i="12"/>
  <c r="D27" i="12"/>
  <c r="G27" i="12"/>
  <c r="G103" i="12"/>
  <c r="G129" i="12"/>
  <c r="G159" i="12"/>
  <c r="G181" i="12"/>
  <c r="D24" i="8"/>
  <c r="D25" i="8" s="1"/>
  <c r="C26" i="8" s="1"/>
  <c r="C25" i="8"/>
  <c r="C100" i="8"/>
  <c r="D99" i="8"/>
  <c r="D100" i="8" s="1"/>
  <c r="C101" i="8" s="1"/>
  <c r="D209" i="8"/>
  <c r="D210" i="8" s="1"/>
  <c r="C211" i="8" s="1"/>
  <c r="C210" i="8"/>
  <c r="C269" i="8"/>
  <c r="C270" i="8" s="1"/>
  <c r="D268" i="8"/>
  <c r="D269" i="8" s="1"/>
  <c r="D270" i="8" s="1"/>
  <c r="C271" i="8" s="1"/>
  <c r="C163" i="8"/>
  <c r="D162" i="8"/>
  <c r="D163" i="8" s="1"/>
  <c r="C164" i="8" s="1"/>
  <c r="C174" i="12" l="1"/>
  <c r="C233" i="12"/>
  <c r="C224" i="12"/>
  <c r="C243" i="12"/>
  <c r="C250" i="12"/>
  <c r="C245" i="12"/>
  <c r="C177" i="12"/>
  <c r="C192" i="12"/>
  <c r="C185" i="12"/>
  <c r="C198" i="12"/>
  <c r="C241" i="12"/>
  <c r="C246" i="12"/>
  <c r="C242" i="12"/>
  <c r="C249" i="12"/>
  <c r="C248" i="12"/>
  <c r="C244" i="12"/>
  <c r="C204" i="12"/>
  <c r="C221" i="12"/>
  <c r="C222" i="12"/>
  <c r="C218" i="12"/>
  <c r="C217" i="12"/>
  <c r="C229" i="12"/>
  <c r="C179" i="12"/>
  <c r="C190" i="12"/>
  <c r="C158" i="12"/>
  <c r="C225" i="12"/>
  <c r="C213" i="12"/>
  <c r="C214" i="12"/>
  <c r="C234" i="12"/>
  <c r="C231" i="12"/>
  <c r="C227" i="12"/>
  <c r="C226" i="12"/>
  <c r="C230" i="12"/>
  <c r="C232" i="12"/>
  <c r="C220" i="12"/>
  <c r="C212" i="12"/>
  <c r="C228" i="12"/>
  <c r="C215" i="12"/>
  <c r="C240" i="12"/>
  <c r="C251" i="12"/>
  <c r="C200" i="12"/>
  <c r="C203" i="12"/>
  <c r="C175" i="12"/>
  <c r="C178" i="12"/>
  <c r="C194" i="12"/>
  <c r="C191" i="12"/>
  <c r="C188" i="12"/>
  <c r="C196" i="12"/>
  <c r="C184" i="12"/>
  <c r="C189" i="12"/>
  <c r="C201" i="12"/>
  <c r="C199" i="12"/>
  <c r="C195" i="12"/>
  <c r="C202" i="12"/>
  <c r="C181" i="12"/>
  <c r="C197" i="12"/>
  <c r="C187" i="12"/>
  <c r="C186" i="12"/>
  <c r="C180" i="12"/>
  <c r="C149" i="12"/>
  <c r="C152" i="12"/>
  <c r="C166" i="12"/>
  <c r="C155" i="12"/>
  <c r="C157" i="12"/>
  <c r="C95" i="12"/>
  <c r="C182" i="12"/>
  <c r="C183" i="12"/>
  <c r="C193" i="12"/>
  <c r="C219" i="12"/>
  <c r="C211" i="12"/>
  <c r="C216" i="12"/>
  <c r="C223" i="12"/>
  <c r="C176" i="12"/>
  <c r="C205" i="12"/>
  <c r="C151" i="12"/>
  <c r="C153" i="12"/>
  <c r="C161" i="12"/>
  <c r="C159" i="12"/>
  <c r="C156" i="12"/>
  <c r="C154" i="12"/>
  <c r="C162" i="12"/>
  <c r="C148" i="12"/>
  <c r="C150" i="12"/>
  <c r="C160" i="12"/>
  <c r="C164" i="12"/>
  <c r="C163" i="12"/>
  <c r="C168" i="12"/>
  <c r="C147" i="12"/>
  <c r="C165" i="12"/>
  <c r="C167" i="12"/>
  <c r="C138" i="12"/>
  <c r="C118" i="12"/>
  <c r="C120" i="12"/>
  <c r="C130" i="12"/>
  <c r="C52" i="12"/>
  <c r="C56" i="12"/>
  <c r="C50" i="12"/>
  <c r="C53" i="12"/>
  <c r="C116" i="12"/>
  <c r="C137" i="12"/>
  <c r="C126" i="12"/>
  <c r="C122" i="12"/>
  <c r="C131" i="12"/>
  <c r="C139" i="12"/>
  <c r="C133" i="12"/>
  <c r="C109" i="12"/>
  <c r="C121" i="12"/>
  <c r="C128" i="12"/>
  <c r="C132" i="12"/>
  <c r="C100" i="12"/>
  <c r="C125" i="12"/>
  <c r="C92" i="12"/>
  <c r="C124" i="12"/>
  <c r="C127" i="12"/>
  <c r="C136" i="12"/>
  <c r="C117" i="12"/>
  <c r="C134" i="12"/>
  <c r="C98" i="12"/>
  <c r="C129" i="12"/>
  <c r="C135" i="12"/>
  <c r="C119" i="12"/>
  <c r="C123" i="12"/>
  <c r="C108" i="12"/>
  <c r="C110" i="12"/>
  <c r="C106" i="12"/>
  <c r="C87" i="12"/>
  <c r="C104" i="12"/>
  <c r="C102" i="12"/>
  <c r="C93" i="12"/>
  <c r="C41" i="12"/>
  <c r="C89" i="12"/>
  <c r="C90" i="12"/>
  <c r="C103" i="12"/>
  <c r="C107" i="12"/>
  <c r="C69" i="12"/>
  <c r="C101" i="12"/>
  <c r="C97" i="12"/>
  <c r="C94" i="12"/>
  <c r="C96" i="12"/>
  <c r="C105" i="12"/>
  <c r="C91" i="12"/>
  <c r="C99" i="12"/>
  <c r="C88" i="12"/>
  <c r="C60" i="12"/>
  <c r="C68" i="12"/>
  <c r="C70" i="12"/>
  <c r="C58" i="12"/>
  <c r="C54" i="12"/>
  <c r="C59" i="12"/>
  <c r="C65" i="12"/>
  <c r="C71" i="12"/>
  <c r="C74" i="12"/>
  <c r="C78" i="12"/>
  <c r="C64" i="12"/>
  <c r="C63" i="12"/>
  <c r="C61" i="12"/>
  <c r="C62" i="12"/>
  <c r="C79" i="12"/>
  <c r="C57" i="12"/>
  <c r="C80" i="12"/>
  <c r="C67" i="12"/>
  <c r="C73" i="12"/>
  <c r="C55" i="12"/>
  <c r="C76" i="12"/>
  <c r="C81" i="12"/>
  <c r="C66" i="12"/>
  <c r="C77" i="12"/>
  <c r="C51" i="12"/>
  <c r="C72" i="12"/>
  <c r="C75" i="12"/>
  <c r="C35" i="12"/>
  <c r="C38" i="12"/>
  <c r="C33" i="12"/>
  <c r="C39" i="12"/>
  <c r="C36" i="12"/>
  <c r="C42" i="12"/>
  <c r="C34" i="12"/>
  <c r="C37" i="12"/>
  <c r="C40" i="12"/>
  <c r="C43" i="12"/>
  <c r="C44" i="12"/>
  <c r="C12" i="12"/>
  <c r="C15" i="12"/>
  <c r="C8" i="12"/>
  <c r="C17" i="12"/>
  <c r="C22" i="12"/>
  <c r="C27" i="12"/>
  <c r="C10" i="12"/>
  <c r="C5" i="12"/>
  <c r="C4" i="12"/>
  <c r="C6" i="12"/>
  <c r="C14" i="12"/>
  <c r="C7" i="12"/>
  <c r="C24" i="12"/>
  <c r="C11" i="12"/>
  <c r="C25" i="12"/>
  <c r="C16" i="12"/>
  <c r="C18" i="12"/>
  <c r="C23" i="12"/>
  <c r="C26" i="12"/>
  <c r="C21" i="12"/>
  <c r="C9" i="12"/>
  <c r="C19" i="12"/>
  <c r="C20" i="12"/>
  <c r="C13" i="12"/>
  <c r="C27" i="8"/>
  <c r="D26" i="8"/>
  <c r="D27" i="8" s="1"/>
  <c r="C28" i="8" s="1"/>
  <c r="C102" i="8"/>
  <c r="D101" i="8"/>
  <c r="D102" i="8" s="1"/>
  <c r="C103" i="8" s="1"/>
  <c r="C212" i="8"/>
  <c r="D211" i="8"/>
  <c r="D212" i="8" s="1"/>
  <c r="C213" i="8" s="1"/>
  <c r="C272" i="8"/>
  <c r="C273" i="8" s="1"/>
  <c r="D271" i="8"/>
  <c r="D272" i="8" s="1"/>
  <c r="D273" i="8" s="1"/>
  <c r="C274" i="8" s="1"/>
  <c r="C165" i="8"/>
  <c r="D164" i="8"/>
  <c r="D165" i="8" s="1"/>
  <c r="C166" i="8" s="1"/>
  <c r="D28" i="8" l="1"/>
  <c r="D29" i="8" s="1"/>
  <c r="C30" i="8" s="1"/>
  <c r="C29" i="8"/>
  <c r="D103" i="8"/>
  <c r="D104" i="8" s="1"/>
  <c r="C105" i="8" s="1"/>
  <c r="C104" i="8"/>
  <c r="C214" i="8"/>
  <c r="D213" i="8"/>
  <c r="D214" i="8" s="1"/>
  <c r="C215" i="8" s="1"/>
  <c r="C275" i="8"/>
  <c r="C276" i="8" s="1"/>
  <c r="D274" i="8"/>
  <c r="D275" i="8" s="1"/>
  <c r="D276" i="8" s="1"/>
  <c r="C277" i="8" s="1"/>
  <c r="D166" i="8"/>
  <c r="D167" i="8" s="1"/>
  <c r="C168" i="8" s="1"/>
  <c r="C167" i="8"/>
  <c r="C31" i="8" l="1"/>
  <c r="D30" i="8"/>
  <c r="D31" i="8" s="1"/>
  <c r="C32" i="8" s="1"/>
  <c r="D105" i="8"/>
  <c r="D106" i="8" s="1"/>
  <c r="C107" i="8" s="1"/>
  <c r="C106" i="8"/>
  <c r="C216" i="8"/>
  <c r="D215" i="8"/>
  <c r="D216" i="8" s="1"/>
  <c r="C217" i="8" s="1"/>
  <c r="C278" i="8"/>
  <c r="C279" i="8" s="1"/>
  <c r="D277" i="8"/>
  <c r="D278" i="8" s="1"/>
  <c r="D279" i="8" s="1"/>
  <c r="C280" i="8" s="1"/>
  <c r="C169" i="8"/>
  <c r="D168" i="8"/>
  <c r="D169" i="8" s="1"/>
  <c r="C170" i="8" s="1"/>
  <c r="C33" i="8" l="1"/>
  <c r="D32" i="8"/>
  <c r="D33" i="8" s="1"/>
  <c r="C34" i="8" s="1"/>
  <c r="D107" i="8"/>
  <c r="D108" i="8" s="1"/>
  <c r="C109" i="8" s="1"/>
  <c r="C108" i="8"/>
  <c r="C218" i="8"/>
  <c r="D217" i="8"/>
  <c r="D218" i="8" s="1"/>
  <c r="C219" i="8" s="1"/>
  <c r="C281" i="8"/>
  <c r="C282" i="8" s="1"/>
  <c r="D280" i="8"/>
  <c r="D281" i="8" s="1"/>
  <c r="D282" i="8" s="1"/>
  <c r="C283" i="8" s="1"/>
  <c r="D170" i="8"/>
  <c r="D171" i="8" s="1"/>
  <c r="C172" i="8" s="1"/>
  <c r="C171" i="8"/>
  <c r="D34" i="8" l="1"/>
  <c r="D35" i="8" s="1"/>
  <c r="C36" i="8" s="1"/>
  <c r="C35" i="8"/>
  <c r="D109" i="8"/>
  <c r="D110" i="8" s="1"/>
  <c r="C111" i="8" s="1"/>
  <c r="C110" i="8"/>
  <c r="C220" i="8"/>
  <c r="D219" i="8"/>
  <c r="D220" i="8" s="1"/>
  <c r="C221" i="8" s="1"/>
  <c r="D283" i="8"/>
  <c r="D284" i="8" s="1"/>
  <c r="D285" i="8" s="1"/>
  <c r="C286" i="8" s="1"/>
  <c r="C284" i="8"/>
  <c r="C285" i="8" s="1"/>
  <c r="C173" i="8"/>
  <c r="D172" i="8"/>
  <c r="D173" i="8" s="1"/>
  <c r="C174" i="8" s="1"/>
  <c r="D36" i="8" l="1"/>
  <c r="D37" i="8" s="1"/>
  <c r="C38" i="8" s="1"/>
  <c r="C37" i="8"/>
  <c r="D111" i="8"/>
  <c r="D112" i="8" s="1"/>
  <c r="C113" i="8" s="1"/>
  <c r="C112" i="8"/>
  <c r="D221" i="8"/>
  <c r="D222" i="8" s="1"/>
  <c r="C223" i="8" s="1"/>
  <c r="C222" i="8"/>
  <c r="C287" i="8"/>
  <c r="C288" i="8" s="1"/>
  <c r="D286" i="8"/>
  <c r="D287" i="8" s="1"/>
  <c r="D288" i="8" s="1"/>
  <c r="C289" i="8" s="1"/>
  <c r="D174" i="8"/>
  <c r="D175" i="8" s="1"/>
  <c r="C176" i="8" s="1"/>
  <c r="C175" i="8"/>
  <c r="D38" i="8" l="1"/>
  <c r="D39" i="8" s="1"/>
  <c r="C40" i="8" s="1"/>
  <c r="C39" i="8"/>
  <c r="D113" i="8"/>
  <c r="D114" i="8" s="1"/>
  <c r="C115" i="8" s="1"/>
  <c r="C114" i="8"/>
  <c r="C224" i="8"/>
  <c r="D223" i="8"/>
  <c r="D224" i="8" s="1"/>
  <c r="C225" i="8" s="1"/>
  <c r="C290" i="8"/>
  <c r="C291" i="8" s="1"/>
  <c r="D289" i="8"/>
  <c r="D290" i="8" s="1"/>
  <c r="D291" i="8" s="1"/>
  <c r="C292" i="8" s="1"/>
  <c r="C177" i="8"/>
  <c r="D176" i="8"/>
  <c r="D177" i="8" s="1"/>
  <c r="C178" i="8" s="1"/>
  <c r="D40" i="8" l="1"/>
  <c r="D41" i="8" s="1"/>
  <c r="C42" i="8" s="1"/>
  <c r="C41" i="8"/>
  <c r="D115" i="8"/>
  <c r="D116" i="8" s="1"/>
  <c r="C117" i="8" s="1"/>
  <c r="C116" i="8"/>
  <c r="D225" i="8"/>
  <c r="D226" i="8" s="1"/>
  <c r="C227" i="8" s="1"/>
  <c r="C226" i="8"/>
  <c r="C293" i="8"/>
  <c r="C294" i="8" s="1"/>
  <c r="D292" i="8"/>
  <c r="D293" i="8" s="1"/>
  <c r="D294" i="8" s="1"/>
  <c r="C295" i="8" s="1"/>
  <c r="C179" i="8"/>
  <c r="D178" i="8"/>
  <c r="D179" i="8" s="1"/>
  <c r="C180" i="8" s="1"/>
  <c r="D42" i="8" l="1"/>
  <c r="D43" i="8" s="1"/>
  <c r="C44" i="8" s="1"/>
  <c r="C43" i="8"/>
  <c r="D117" i="8"/>
  <c r="D118" i="8" s="1"/>
  <c r="C119" i="8" s="1"/>
  <c r="C118" i="8"/>
  <c r="D227" i="8"/>
  <c r="D228" i="8" s="1"/>
  <c r="C229" i="8" s="1"/>
  <c r="C228" i="8"/>
  <c r="C296" i="8"/>
  <c r="C297" i="8" s="1"/>
  <c r="D295" i="8"/>
  <c r="D296" i="8" s="1"/>
  <c r="D297" i="8" s="1"/>
  <c r="C298" i="8" s="1"/>
  <c r="D180" i="8"/>
  <c r="D181" i="8" s="1"/>
  <c r="C182" i="8" s="1"/>
  <c r="C181" i="8"/>
  <c r="D44" i="8" l="1"/>
  <c r="D45" i="8" s="1"/>
  <c r="C46" i="8" s="1"/>
  <c r="C45" i="8"/>
  <c r="D119" i="8"/>
  <c r="D120" i="8" s="1"/>
  <c r="C121" i="8" s="1"/>
  <c r="C120" i="8"/>
  <c r="D229" i="8"/>
  <c r="D230" i="8" s="1"/>
  <c r="C231" i="8" s="1"/>
  <c r="C230" i="8"/>
  <c r="C299" i="8"/>
  <c r="C300" i="8" s="1"/>
  <c r="D298" i="8"/>
  <c r="D299" i="8" s="1"/>
  <c r="D300" i="8" s="1"/>
  <c r="C301" i="8" s="1"/>
  <c r="C183" i="8"/>
  <c r="D182" i="8"/>
  <c r="D183" i="8" s="1"/>
  <c r="C184" i="8" s="1"/>
  <c r="D46" i="8" l="1"/>
  <c r="D47" i="8" s="1"/>
  <c r="C48" i="8" s="1"/>
  <c r="C47" i="8"/>
  <c r="C122" i="8"/>
  <c r="D121" i="8"/>
  <c r="D122" i="8" s="1"/>
  <c r="C123" i="8" s="1"/>
  <c r="C232" i="8"/>
  <c r="D231" i="8"/>
  <c r="D232" i="8" s="1"/>
  <c r="C233" i="8" s="1"/>
  <c r="C302" i="8"/>
  <c r="C303" i="8" s="1"/>
  <c r="D301" i="8"/>
  <c r="D302" i="8" s="1"/>
  <c r="D303" i="8" s="1"/>
  <c r="C304" i="8" s="1"/>
  <c r="C185" i="8"/>
  <c r="D184" i="8"/>
  <c r="D185" i="8" s="1"/>
  <c r="C186" i="8" s="1"/>
  <c r="D48" i="8" l="1"/>
  <c r="D49" i="8" s="1"/>
  <c r="C50" i="8" s="1"/>
  <c r="C49" i="8"/>
  <c r="D123" i="8"/>
  <c r="D124" i="8" s="1"/>
  <c r="C125" i="8" s="1"/>
  <c r="C124" i="8"/>
  <c r="D233" i="8"/>
  <c r="D234" i="8" s="1"/>
  <c r="C235" i="8" s="1"/>
  <c r="C234" i="8"/>
  <c r="C305" i="8"/>
  <c r="C306" i="8" s="1"/>
  <c r="D304" i="8"/>
  <c r="D305" i="8" s="1"/>
  <c r="D306" i="8" s="1"/>
  <c r="C307" i="8" s="1"/>
  <c r="C187" i="8"/>
  <c r="D186" i="8"/>
  <c r="D187" i="8" s="1"/>
  <c r="C188" i="8" s="1"/>
  <c r="D188" i="8" s="1"/>
  <c r="D50" i="8" l="1"/>
  <c r="D51" i="8" s="1"/>
  <c r="C52" i="8" s="1"/>
  <c r="C51" i="8"/>
  <c r="C126" i="8"/>
  <c r="D125" i="8"/>
  <c r="D126" i="8" s="1"/>
  <c r="C127" i="8" s="1"/>
  <c r="C236" i="8"/>
  <c r="D235" i="8"/>
  <c r="D236" i="8" s="1"/>
  <c r="C237" i="8" s="1"/>
  <c r="D237" i="8" s="1"/>
  <c r="D307" i="8"/>
  <c r="D308" i="8" s="1"/>
  <c r="D309" i="8" s="1"/>
  <c r="C310" i="8" s="1"/>
  <c r="C308" i="8"/>
  <c r="C309" i="8" s="1"/>
  <c r="D52" i="8" l="1"/>
  <c r="D53" i="8" s="1"/>
  <c r="C54" i="8" s="1"/>
  <c r="C53" i="8"/>
  <c r="D127" i="8"/>
  <c r="D128" i="8" s="1"/>
  <c r="C129" i="8" s="1"/>
  <c r="C128" i="8"/>
  <c r="D310" i="8"/>
  <c r="D311" i="8" s="1"/>
  <c r="D312" i="8" s="1"/>
  <c r="C313" i="8" s="1"/>
  <c r="C311" i="8"/>
  <c r="C312" i="8" s="1"/>
  <c r="D54" i="8" l="1"/>
  <c r="D55" i="8" s="1"/>
  <c r="C56" i="8" s="1"/>
  <c r="C55" i="8"/>
  <c r="D129" i="8"/>
  <c r="D130" i="8" s="1"/>
  <c r="C131" i="8" s="1"/>
  <c r="C130" i="8"/>
  <c r="D313" i="8"/>
  <c r="D314" i="8" s="1"/>
  <c r="D315" i="8" s="1"/>
  <c r="C316" i="8" s="1"/>
  <c r="C314" i="8"/>
  <c r="C315" i="8" s="1"/>
  <c r="D56" i="8" l="1"/>
  <c r="D57" i="8" s="1"/>
  <c r="C58" i="8" s="1"/>
  <c r="C57" i="8"/>
  <c r="C132" i="8"/>
  <c r="D131" i="8"/>
  <c r="D132" i="8" s="1"/>
  <c r="C133" i="8" s="1"/>
  <c r="D316" i="8"/>
  <c r="D317" i="8" s="1"/>
  <c r="D318" i="8" s="1"/>
  <c r="C319" i="8" s="1"/>
  <c r="C317" i="8"/>
  <c r="C318" i="8" s="1"/>
  <c r="D58" i="8" l="1"/>
  <c r="D59" i="8" s="1"/>
  <c r="C60" i="8" s="1"/>
  <c r="C59" i="8"/>
  <c r="D133" i="8"/>
  <c r="D134" i="8" s="1"/>
  <c r="C135" i="8" s="1"/>
  <c r="C134" i="8"/>
  <c r="D319" i="8"/>
  <c r="D320" i="8" s="1"/>
  <c r="D321" i="8" s="1"/>
  <c r="C322" i="8" s="1"/>
  <c r="C320" i="8"/>
  <c r="C321" i="8" s="1"/>
  <c r="C61" i="8" l="1"/>
  <c r="D60" i="8"/>
  <c r="D61" i="8" s="1"/>
  <c r="C62" i="8" s="1"/>
  <c r="D135" i="8"/>
  <c r="D136" i="8" s="1"/>
  <c r="C137" i="8" s="1"/>
  <c r="C136" i="8"/>
  <c r="D322" i="8"/>
  <c r="D323" i="8" s="1"/>
  <c r="D324" i="8" s="1"/>
  <c r="C325" i="8" s="1"/>
  <c r="C323" i="8"/>
  <c r="C324" i="8" s="1"/>
  <c r="D62" i="8" l="1"/>
  <c r="D63" i="8" s="1"/>
  <c r="C64" i="8" s="1"/>
  <c r="C63" i="8"/>
  <c r="D137" i="8"/>
  <c r="D138" i="8" s="1"/>
  <c r="C139" i="8" s="1"/>
  <c r="D139" i="8" s="1"/>
  <c r="C138" i="8"/>
  <c r="D325" i="8"/>
  <c r="D326" i="8" s="1"/>
  <c r="D327" i="8" s="1"/>
  <c r="C328" i="8" s="1"/>
  <c r="C326" i="8"/>
  <c r="C327" i="8" s="1"/>
  <c r="C65" i="8" l="1"/>
  <c r="D64" i="8"/>
  <c r="D65" i="8" s="1"/>
  <c r="C66" i="8" s="1"/>
  <c r="D328" i="8"/>
  <c r="D329" i="8" s="1"/>
  <c r="D330" i="8" s="1"/>
  <c r="C331" i="8" s="1"/>
  <c r="C329" i="8"/>
  <c r="C330" i="8" s="1"/>
  <c r="D66" i="8" l="1"/>
  <c r="D67" i="8" s="1"/>
  <c r="C68" i="8" s="1"/>
  <c r="C67" i="8"/>
  <c r="D331" i="8"/>
  <c r="D332" i="8" s="1"/>
  <c r="D333" i="8" s="1"/>
  <c r="C334" i="8" s="1"/>
  <c r="C332" i="8"/>
  <c r="C333" i="8" s="1"/>
  <c r="D68" i="8" l="1"/>
  <c r="D69" i="8" s="1"/>
  <c r="C70" i="8" s="1"/>
  <c r="C69" i="8"/>
  <c r="C335" i="8"/>
  <c r="C336" i="8" s="1"/>
  <c r="D334" i="8"/>
  <c r="D335" i="8" s="1"/>
  <c r="D336" i="8" s="1"/>
  <c r="C337" i="8" s="1"/>
  <c r="D70" i="8" l="1"/>
  <c r="D71" i="8" s="1"/>
  <c r="C72" i="8" s="1"/>
  <c r="C71" i="8"/>
  <c r="C338" i="8"/>
  <c r="C339" i="8" s="1"/>
  <c r="D337" i="8"/>
  <c r="D338" i="8" s="1"/>
  <c r="D339" i="8" s="1"/>
  <c r="C340" i="8" s="1"/>
  <c r="D72" i="8" l="1"/>
  <c r="D73" i="8" s="1"/>
  <c r="C74" i="8" s="1"/>
  <c r="C73" i="8"/>
  <c r="C341" i="8"/>
  <c r="C342" i="8" s="1"/>
  <c r="D340" i="8"/>
  <c r="D341" i="8" s="1"/>
  <c r="D342" i="8" s="1"/>
  <c r="C343" i="8" s="1"/>
  <c r="D74" i="8" l="1"/>
  <c r="D75" i="8" s="1"/>
  <c r="C76" i="8" s="1"/>
  <c r="D76" i="8" s="1"/>
  <c r="C75" i="8"/>
  <c r="C344" i="8"/>
  <c r="C345" i="8" s="1"/>
  <c r="D343" i="8"/>
  <c r="D344" i="8" s="1"/>
  <c r="D345" i="8" s="1"/>
  <c r="C346" i="8" s="1"/>
  <c r="C347" i="8" l="1"/>
  <c r="C348" i="8" s="1"/>
  <c r="D346" i="8"/>
  <c r="D347" i="8" s="1"/>
  <c r="D348" i="8" s="1"/>
  <c r="C349" i="8" s="1"/>
  <c r="C350" i="8" l="1"/>
  <c r="C351" i="8" s="1"/>
  <c r="D349" i="8"/>
  <c r="D350" i="8" s="1"/>
  <c r="D351" i="8" s="1"/>
  <c r="C352" i="8" s="1"/>
  <c r="D352" i="8" l="1"/>
  <c r="D353" i="8" s="1"/>
  <c r="D354" i="8" s="1"/>
  <c r="C355" i="8" s="1"/>
  <c r="C353" i="8"/>
  <c r="C354" i="8" s="1"/>
  <c r="D355" i="8" l="1"/>
  <c r="D356" i="8" s="1"/>
  <c r="D357" i="8" s="1"/>
  <c r="C358" i="8" s="1"/>
  <c r="C356" i="8"/>
  <c r="C357" i="8" s="1"/>
  <c r="D358" i="8" l="1"/>
  <c r="D359" i="8" s="1"/>
  <c r="D360" i="8" s="1"/>
  <c r="C361" i="8" s="1"/>
  <c r="C359" i="8"/>
  <c r="C360" i="8" s="1"/>
  <c r="C362" i="8" l="1"/>
  <c r="C363" i="8" s="1"/>
  <c r="D361" i="8"/>
  <c r="D362" i="8" s="1"/>
  <c r="D363" i="8" s="1"/>
  <c r="C364" i="8" s="1"/>
  <c r="D364" i="8" l="1"/>
  <c r="D365" i="8" s="1"/>
  <c r="D366" i="8" s="1"/>
  <c r="C367" i="8" s="1"/>
  <c r="C365" i="8"/>
  <c r="C366" i="8" s="1"/>
  <c r="D367" i="8" l="1"/>
  <c r="D368" i="8" s="1"/>
  <c r="D369" i="8" s="1"/>
  <c r="C370" i="8" s="1"/>
  <c r="C368" i="8"/>
  <c r="C369" i="8" s="1"/>
  <c r="C371" i="8" l="1"/>
  <c r="C372" i="8" s="1"/>
  <c r="D370" i="8"/>
  <c r="D371" i="8" s="1"/>
  <c r="D372" i="8" s="1"/>
  <c r="C373" i="8" s="1"/>
  <c r="C374" i="8" l="1"/>
  <c r="C375" i="8" s="1"/>
  <c r="D373" i="8"/>
  <c r="D374" i="8" s="1"/>
  <c r="D375" i="8" s="1"/>
  <c r="C376" i="8" s="1"/>
  <c r="C377" i="8" l="1"/>
  <c r="C378" i="8" s="1"/>
  <c r="D376" i="8"/>
  <c r="D377" i="8" s="1"/>
  <c r="D378" i="8" s="1"/>
  <c r="C379" i="8" s="1"/>
  <c r="C380" i="8" l="1"/>
  <c r="C381" i="8" s="1"/>
  <c r="D379" i="8"/>
  <c r="D380" i="8" s="1"/>
  <c r="D381" i="8" s="1"/>
  <c r="C382" i="8" s="1"/>
  <c r="D382" i="8" l="1"/>
  <c r="D383" i="8" s="1"/>
  <c r="D384" i="8" s="1"/>
  <c r="C385" i="8" s="1"/>
  <c r="C383" i="8"/>
  <c r="C384" i="8" s="1"/>
  <c r="C386" i="8" l="1"/>
  <c r="C387" i="8" s="1"/>
  <c r="D385" i="8"/>
  <c r="D386" i="8" s="1"/>
  <c r="D387" i="8" s="1"/>
  <c r="C388" i="8" s="1"/>
  <c r="C389" i="8" l="1"/>
  <c r="C390" i="8" s="1"/>
  <c r="D388" i="8"/>
  <c r="D389" i="8" s="1"/>
  <c r="D390" i="8" s="1"/>
  <c r="C391" i="8" s="1"/>
  <c r="C392" i="8" l="1"/>
  <c r="C393" i="8" s="1"/>
  <c r="D391" i="8"/>
  <c r="D392" i="8" s="1"/>
  <c r="D393" i="8" s="1"/>
  <c r="C394" i="8" s="1"/>
  <c r="C395" i="8" l="1"/>
  <c r="C396" i="8" s="1"/>
  <c r="D394" i="8"/>
  <c r="D395" i="8" s="1"/>
  <c r="D396" i="8" s="1"/>
  <c r="C397" i="8" s="1"/>
  <c r="C398" i="8" l="1"/>
  <c r="C399" i="8" s="1"/>
  <c r="D397" i="8"/>
  <c r="D398" i="8" s="1"/>
  <c r="D399" i="8" s="1"/>
  <c r="C400" i="8" s="1"/>
  <c r="D400" i="8" l="1"/>
  <c r="D401" i="8" s="1"/>
  <c r="D402" i="8" s="1"/>
  <c r="C403" i="8" s="1"/>
  <c r="C401" i="8"/>
  <c r="C402" i="8" s="1"/>
  <c r="D403" i="8" l="1"/>
  <c r="D404" i="8" s="1"/>
  <c r="D405" i="8" s="1"/>
  <c r="C406" i="8" s="1"/>
  <c r="C404" i="8"/>
  <c r="C405" i="8" s="1"/>
  <c r="D406" i="8" l="1"/>
  <c r="D407" i="8" s="1"/>
  <c r="D408" i="8" s="1"/>
  <c r="C409" i="8" s="1"/>
  <c r="C407" i="8"/>
  <c r="C408" i="8" s="1"/>
  <c r="D409" i="8" l="1"/>
  <c r="D410" i="8" s="1"/>
  <c r="D411" i="8" s="1"/>
  <c r="C412" i="8" s="1"/>
  <c r="C410" i="8"/>
  <c r="C411" i="8" s="1"/>
  <c r="D412" i="8" l="1"/>
  <c r="D413" i="8" s="1"/>
  <c r="D414" i="8" s="1"/>
  <c r="C415" i="8" s="1"/>
  <c r="C413" i="8"/>
  <c r="C414" i="8" s="1"/>
  <c r="C416" i="8" l="1"/>
  <c r="C417" i="8" s="1"/>
  <c r="D415" i="8"/>
  <c r="D416" i="8" s="1"/>
  <c r="D417" i="8" s="1"/>
  <c r="C418" i="8" s="1"/>
  <c r="D418" i="8" l="1"/>
  <c r="D419" i="8" s="1"/>
  <c r="D420" i="8" s="1"/>
  <c r="C421" i="8" s="1"/>
  <c r="C419" i="8"/>
  <c r="C420" i="8" s="1"/>
  <c r="D421" i="8" l="1"/>
  <c r="D422" i="8" s="1"/>
  <c r="D423" i="8" s="1"/>
  <c r="C424" i="8" s="1"/>
  <c r="C422" i="8"/>
  <c r="C423" i="8" s="1"/>
  <c r="C425" i="8" l="1"/>
  <c r="D424" i="8"/>
  <c r="D425" i="8" s="1"/>
  <c r="C427" i="8" l="1"/>
  <c r="C426" i="8"/>
  <c r="D426" i="8"/>
  <c r="D42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<sst xmlns="http://schemas.openxmlformats.org/spreadsheetml/2006/main" count="2000" uniqueCount="513">
  <si>
    <t>Day</t>
  </si>
  <si>
    <t>Venue</t>
  </si>
  <si>
    <t>Courts</t>
  </si>
  <si>
    <t>Matches</t>
  </si>
  <si>
    <t>Slot (min)</t>
  </si>
  <si>
    <t>Actual Hours</t>
  </si>
  <si>
    <t>Saturday</t>
  </si>
  <si>
    <t>Sunday</t>
  </si>
  <si>
    <t>Start Time</t>
  </si>
  <si>
    <t>End Time</t>
  </si>
  <si>
    <t>Category</t>
  </si>
  <si>
    <t>Pool 1</t>
  </si>
  <si>
    <t>MD</t>
  </si>
  <si>
    <t>SD</t>
  </si>
  <si>
    <t>MXD</t>
  </si>
  <si>
    <t>No of players</t>
  </si>
  <si>
    <t>No of teams</t>
  </si>
  <si>
    <t>Entry fee</t>
  </si>
  <si>
    <t>Fee income</t>
  </si>
  <si>
    <t>Details</t>
  </si>
  <si>
    <t>Particulars</t>
  </si>
  <si>
    <t>Amt (in Rs)</t>
  </si>
  <si>
    <t>Income:</t>
  </si>
  <si>
    <t>Sponsorship</t>
  </si>
  <si>
    <t>Entry fees</t>
  </si>
  <si>
    <t>Stall rentals</t>
  </si>
  <si>
    <t>-No of stalls</t>
  </si>
  <si>
    <t>-Rent/stall</t>
  </si>
  <si>
    <t>Total Income</t>
  </si>
  <si>
    <t>Expense:</t>
  </si>
  <si>
    <t>Court charges</t>
  </si>
  <si>
    <t>Balls</t>
  </si>
  <si>
    <t xml:space="preserve">Referee </t>
  </si>
  <si>
    <t>Prize pool</t>
  </si>
  <si>
    <t xml:space="preserve">Misc </t>
  </si>
  <si>
    <t>Category to be played</t>
  </si>
  <si>
    <t>Pickle Adda</t>
  </si>
  <si>
    <t>Court No</t>
  </si>
  <si>
    <t>Match Details</t>
  </si>
  <si>
    <t>Group Stage</t>
  </si>
  <si>
    <t>Quarters</t>
  </si>
  <si>
    <t>Finals</t>
  </si>
  <si>
    <t>Court/hr</t>
  </si>
  <si>
    <t>Semis</t>
  </si>
  <si>
    <t>Total Expense</t>
  </si>
  <si>
    <t>Net Profit</t>
  </si>
  <si>
    <t>Court Charges</t>
  </si>
  <si>
    <t>Court Mafia 2.0 - Financial Model</t>
  </si>
  <si>
    <t>Court cost</t>
  </si>
  <si>
    <t>Open Men Singles</t>
  </si>
  <si>
    <t>Open Veteran Doubles</t>
  </si>
  <si>
    <t>45+ Split Doubles</t>
  </si>
  <si>
    <t>Beginner Men's Doubles</t>
  </si>
  <si>
    <t>Beginner Mx Doubles</t>
  </si>
  <si>
    <t>Int Men Doubles</t>
  </si>
  <si>
    <t>Open Mx Doubles</t>
  </si>
  <si>
    <t>Adv Men Doubles</t>
  </si>
  <si>
    <t>-No of days</t>
  </si>
  <si>
    <t>-Per day fee</t>
  </si>
  <si>
    <t>-Total referees</t>
  </si>
  <si>
    <t>5th April</t>
  </si>
  <si>
    <t>Gawand Baug</t>
  </si>
  <si>
    <t>Open Mens Singles</t>
  </si>
  <si>
    <t>05th</t>
  </si>
  <si>
    <t>11th</t>
  </si>
  <si>
    <t>12th</t>
  </si>
  <si>
    <t>Open Women's Doubles</t>
  </si>
  <si>
    <t>GB</t>
  </si>
  <si>
    <t>Open Men's Singles</t>
  </si>
  <si>
    <t>Beginner Mixed Doubles</t>
  </si>
  <si>
    <t>Teams</t>
  </si>
  <si>
    <t>Total matches</t>
  </si>
  <si>
    <t>Intermediate Men's Doubles</t>
  </si>
  <si>
    <t>Open Mixed Doubles</t>
  </si>
  <si>
    <t>Advanced Men's Doubles</t>
  </si>
  <si>
    <t>Adda</t>
  </si>
  <si>
    <t xml:space="preserve">No of courts </t>
  </si>
  <si>
    <t>Total Time (in hrs)</t>
  </si>
  <si>
    <t>Est Time
(in mins)</t>
  </si>
  <si>
    <t>No of matches calculation</t>
  </si>
  <si>
    <t>☑</t>
  </si>
  <si>
    <t>Income</t>
  </si>
  <si>
    <t>GB PnL</t>
  </si>
  <si>
    <t>Ref fees</t>
  </si>
  <si>
    <t>Ball cost (Ash100)</t>
  </si>
  <si>
    <t>Prize Pool</t>
  </si>
  <si>
    <t>Total income</t>
  </si>
  <si>
    <t>F&amp;B (tea &amp; snacks)</t>
  </si>
  <si>
    <t>Total expense</t>
  </si>
  <si>
    <t>Live stream (3 courts)</t>
  </si>
  <si>
    <t>Total Profit</t>
  </si>
  <si>
    <t>Adda PnL</t>
  </si>
  <si>
    <t>Doubles</t>
  </si>
  <si>
    <t>Singles</t>
  </si>
  <si>
    <t>Ball cost (Franklin)</t>
  </si>
  <si>
    <t>Live stream (2 courts)</t>
  </si>
  <si>
    <t>Décor (Stands)</t>
  </si>
  <si>
    <t>Grand total:</t>
  </si>
  <si>
    <t>Expense</t>
  </si>
  <si>
    <t>Net profit</t>
  </si>
  <si>
    <t>Prize money breakup</t>
  </si>
  <si>
    <t>Case 1</t>
  </si>
  <si>
    <t>1st prize</t>
  </si>
  <si>
    <t>2nd prize</t>
  </si>
  <si>
    <t>Total</t>
  </si>
  <si>
    <t>% increase</t>
  </si>
  <si>
    <t>Adv Doubles</t>
  </si>
  <si>
    <t>Misc</t>
  </si>
  <si>
    <t>Gross Margin</t>
  </si>
  <si>
    <t>Court fees</t>
  </si>
  <si>
    <t>Gross Profit</t>
  </si>
  <si>
    <t>Other income</t>
  </si>
  <si>
    <t>Intermediate 35+ Split Doubles</t>
  </si>
  <si>
    <t>Name</t>
  </si>
  <si>
    <t>Category Played</t>
  </si>
  <si>
    <t>Msg sent</t>
  </si>
  <si>
    <t>Bhargav Mungekar</t>
  </si>
  <si>
    <t>Nishant Hirekurbure</t>
  </si>
  <si>
    <t>Rohan Solanki</t>
  </si>
  <si>
    <t>Soham Naik</t>
  </si>
  <si>
    <t>Abhishek Beria</t>
  </si>
  <si>
    <t>Siddhesh Dhopatkar</t>
  </si>
  <si>
    <t>Shailesh Ogale</t>
  </si>
  <si>
    <t>Varun Mittal</t>
  </si>
  <si>
    <t>Manikantan Iyer</t>
  </si>
  <si>
    <t>Mangesh Modak</t>
  </si>
  <si>
    <t>Ajay Pohare</t>
  </si>
  <si>
    <t>Nice Jain</t>
  </si>
  <si>
    <t>Pratik Bhagat</t>
  </si>
  <si>
    <t>Ritvik Lakhepuriya</t>
  </si>
  <si>
    <t>Mohit Gossain</t>
  </si>
  <si>
    <t>Kaustubh Kelkar</t>
  </si>
  <si>
    <t>Kishan Savant</t>
  </si>
  <si>
    <t>Revaan Talreja</t>
  </si>
  <si>
    <t>Nilay Shah</t>
  </si>
  <si>
    <t>Pushkaraj Kate</t>
  </si>
  <si>
    <t>Ajinkya Mehta</t>
  </si>
  <si>
    <t>Valentino Sequeira</t>
  </si>
  <si>
    <t>Pankaj Satpute</t>
  </si>
  <si>
    <t>Paritosh Gohil</t>
  </si>
  <si>
    <t>Sujan Narvekar</t>
  </si>
  <si>
    <t>Nikhil Bendre</t>
  </si>
  <si>
    <t>Rishi Gangoli</t>
  </si>
  <si>
    <t xml:space="preserve">Abiram Suresh </t>
  </si>
  <si>
    <t>Rajiv Sengupta</t>
  </si>
  <si>
    <t>Vivek Parasuraman</t>
  </si>
  <si>
    <t>Rohit Patil</t>
  </si>
  <si>
    <t>Antriksh Gala</t>
  </si>
  <si>
    <t>Karaan Aluwalia</t>
  </si>
  <si>
    <t>Deva Redkar</t>
  </si>
  <si>
    <t>Vinay Taldar</t>
  </si>
  <si>
    <t>Omkar Kabadi</t>
  </si>
  <si>
    <t>Vijay Mali</t>
  </si>
  <si>
    <t>Sachin Mahajan</t>
  </si>
  <si>
    <t>Sahil Ghogare</t>
  </si>
  <si>
    <t>Shreejit Nair</t>
  </si>
  <si>
    <t>Nilesh Idnani</t>
  </si>
  <si>
    <t>Shreyas Hadkar</t>
  </si>
  <si>
    <t>Nimish Manghani</t>
  </si>
  <si>
    <t>Siddharth Wagle</t>
  </si>
  <si>
    <t>Sachin Borakhade</t>
  </si>
  <si>
    <t>Darshan Thik</t>
  </si>
  <si>
    <t>Pratik Thakker</t>
  </si>
  <si>
    <t xml:space="preserve">Hardik Kapadia </t>
  </si>
  <si>
    <t>Shantanu Joglekar</t>
  </si>
  <si>
    <t>Abhinav Sethi</t>
  </si>
  <si>
    <t>Akshay Palse</t>
  </si>
  <si>
    <t>Anuj Shetty</t>
  </si>
  <si>
    <t>Ravitosh Mishra</t>
  </si>
  <si>
    <t>Rajat Singh</t>
  </si>
  <si>
    <t>Devesh Naik</t>
  </si>
  <si>
    <t>Siddhesh Parab</t>
  </si>
  <si>
    <t>Nischint</t>
  </si>
  <si>
    <t>Abhishek Kabadi</t>
  </si>
  <si>
    <t>Sachin Shirke</t>
  </si>
  <si>
    <t>Umesh Ghogare</t>
  </si>
  <si>
    <t>Karan Sanghvi</t>
  </si>
  <si>
    <t>Dhanvin Bhole</t>
  </si>
  <si>
    <t>Amit Chandola</t>
  </si>
  <si>
    <t>Sachin Verma</t>
  </si>
  <si>
    <t>Nachiket Gogia</t>
  </si>
  <si>
    <t>Shantanu Saha</t>
  </si>
  <si>
    <t>Satish Naidu</t>
  </si>
  <si>
    <t>Poonam Jain</t>
  </si>
  <si>
    <t>Sanika Oak</t>
  </si>
  <si>
    <t xml:space="preserve">Akshata Nimkar </t>
  </si>
  <si>
    <t>Gauri Badakere</t>
  </si>
  <si>
    <t>Niharika</t>
  </si>
  <si>
    <t>Nita Fernandes</t>
  </si>
  <si>
    <t>Sabina Roshan</t>
  </si>
  <si>
    <t>Deepika Juyal</t>
  </si>
  <si>
    <t>Parnika Waghmare</t>
  </si>
  <si>
    <t>Shilpa Kumar</t>
  </si>
  <si>
    <t>Michelle</t>
  </si>
  <si>
    <t>Arti Karade</t>
  </si>
  <si>
    <t>Tejashree Kanitkar</t>
  </si>
  <si>
    <t>Hema Thakker</t>
  </si>
  <si>
    <t>Bhakti</t>
  </si>
  <si>
    <t>Purva Verma</t>
  </si>
  <si>
    <t>Divya Mada</t>
  </si>
  <si>
    <t>Alisha Bhise</t>
  </si>
  <si>
    <t>Malvika Chudawala</t>
  </si>
  <si>
    <t>Juilee Chavan</t>
  </si>
  <si>
    <t>Chaitali Gadkar</t>
  </si>
  <si>
    <t>Aaratie</t>
  </si>
  <si>
    <t>Aarya Gade</t>
  </si>
  <si>
    <t>Bhavya Vaity</t>
  </si>
  <si>
    <t>No</t>
  </si>
  <si>
    <t>MD, MXD</t>
  </si>
  <si>
    <t>Court Mafia S1 list</t>
  </si>
  <si>
    <t>Singles, MXD</t>
  </si>
  <si>
    <t>Singles, MD, MXD</t>
  </si>
  <si>
    <t>Singles, MD</t>
  </si>
  <si>
    <t>Yes</t>
  </si>
  <si>
    <t>Advanced Players List</t>
  </si>
  <si>
    <t>Vishal Laungani</t>
  </si>
  <si>
    <t>Sonu</t>
  </si>
  <si>
    <t>Chandra Sir</t>
  </si>
  <si>
    <t>Rohin Rajani</t>
  </si>
  <si>
    <t>Kunal Bare</t>
  </si>
  <si>
    <t>Anay Patil</t>
  </si>
  <si>
    <t>Manas Sharma</t>
  </si>
  <si>
    <t>Aniket Durgavali</t>
  </si>
  <si>
    <t>Aditya Singh</t>
  </si>
  <si>
    <t>OMD12</t>
  </si>
  <si>
    <t>OMD11</t>
  </si>
  <si>
    <t>OMD10</t>
  </si>
  <si>
    <t>OMD09</t>
  </si>
  <si>
    <t>OMD08</t>
  </si>
  <si>
    <t>OMD07</t>
  </si>
  <si>
    <t>OMD06</t>
  </si>
  <si>
    <t>OMD05</t>
  </si>
  <si>
    <t>OMD04</t>
  </si>
  <si>
    <t>OMD03</t>
  </si>
  <si>
    <t>OMD02</t>
  </si>
  <si>
    <t>OMD01</t>
  </si>
  <si>
    <t>BMX24</t>
  </si>
  <si>
    <t>BMX23</t>
  </si>
  <si>
    <t>BMX22</t>
  </si>
  <si>
    <t>BMX21</t>
  </si>
  <si>
    <t>BMX20</t>
  </si>
  <si>
    <t>BMX19</t>
  </si>
  <si>
    <t>BMX18</t>
  </si>
  <si>
    <t>BMX17</t>
  </si>
  <si>
    <t>BMX16</t>
  </si>
  <si>
    <t>BMX15</t>
  </si>
  <si>
    <t>BMX14</t>
  </si>
  <si>
    <t>BMX13</t>
  </si>
  <si>
    <t>BMX12</t>
  </si>
  <si>
    <t>BMX11</t>
  </si>
  <si>
    <t>BMX10</t>
  </si>
  <si>
    <t>BMX09</t>
  </si>
  <si>
    <t>BMX08</t>
  </si>
  <si>
    <t>BMX07</t>
  </si>
  <si>
    <t>BMX06</t>
  </si>
  <si>
    <t>BMX05</t>
  </si>
  <si>
    <t>BMX04</t>
  </si>
  <si>
    <t>BMX03</t>
  </si>
  <si>
    <t>BMX02</t>
  </si>
  <si>
    <t>BMX01</t>
  </si>
  <si>
    <t>BMD32</t>
  </si>
  <si>
    <t>BMD31</t>
  </si>
  <si>
    <t>BMD30</t>
  </si>
  <si>
    <t>BMD29</t>
  </si>
  <si>
    <t>BMD28</t>
  </si>
  <si>
    <t>BMD27</t>
  </si>
  <si>
    <t>BMD26</t>
  </si>
  <si>
    <t>BMD25</t>
  </si>
  <si>
    <t>BMD24</t>
  </si>
  <si>
    <t>BMD23</t>
  </si>
  <si>
    <t>BMD22</t>
  </si>
  <si>
    <t>BMD21</t>
  </si>
  <si>
    <t>BMD20</t>
  </si>
  <si>
    <t>BMD19</t>
  </si>
  <si>
    <t>BMD18</t>
  </si>
  <si>
    <t>BMD17</t>
  </si>
  <si>
    <t>BMD16</t>
  </si>
  <si>
    <t>BMD15</t>
  </si>
  <si>
    <t>BMD14</t>
  </si>
  <si>
    <t>BMD13</t>
  </si>
  <si>
    <t>BMD12</t>
  </si>
  <si>
    <t>BMD11</t>
  </si>
  <si>
    <t>BMD10</t>
  </si>
  <si>
    <t>BMD09</t>
  </si>
  <si>
    <t>BMD08</t>
  </si>
  <si>
    <t>BMD07</t>
  </si>
  <si>
    <t>BMD06</t>
  </si>
  <si>
    <t>BMD05</t>
  </si>
  <si>
    <t>BMD04</t>
  </si>
  <si>
    <t>BMD03</t>
  </si>
  <si>
    <t>BMD02</t>
  </si>
  <si>
    <t>BMD01</t>
  </si>
  <si>
    <t>SD4524</t>
  </si>
  <si>
    <t>SD4523</t>
  </si>
  <si>
    <t>SD4522</t>
  </si>
  <si>
    <t>SD4521</t>
  </si>
  <si>
    <t>SD4520</t>
  </si>
  <si>
    <t>SD4519</t>
  </si>
  <si>
    <t>SD4518</t>
  </si>
  <si>
    <t>SD4517</t>
  </si>
  <si>
    <t>SD4516</t>
  </si>
  <si>
    <t>SD4515</t>
  </si>
  <si>
    <t>SD4514</t>
  </si>
  <si>
    <t>SD4513</t>
  </si>
  <si>
    <t>SD4512</t>
  </si>
  <si>
    <t>SD4511</t>
  </si>
  <si>
    <t>SD4510</t>
  </si>
  <si>
    <t>SD4509</t>
  </si>
  <si>
    <t>SD4508</t>
  </si>
  <si>
    <t>SD4507</t>
  </si>
  <si>
    <t>SD4506</t>
  </si>
  <si>
    <t>SD4505</t>
  </si>
  <si>
    <t>SD4504</t>
  </si>
  <si>
    <t>SD4503</t>
  </si>
  <si>
    <t>SD4502</t>
  </si>
  <si>
    <t>SD4501</t>
  </si>
  <si>
    <t>AMD24</t>
  </si>
  <si>
    <t>AMD23</t>
  </si>
  <si>
    <t>AMD22</t>
  </si>
  <si>
    <t>AMD21</t>
  </si>
  <si>
    <t>AMD20</t>
  </si>
  <si>
    <t>AMD19</t>
  </si>
  <si>
    <t>AMD18</t>
  </si>
  <si>
    <t>AMD17</t>
  </si>
  <si>
    <t>AMD16</t>
  </si>
  <si>
    <t>AMD15</t>
  </si>
  <si>
    <t>AMD14</t>
  </si>
  <si>
    <t>AMD13</t>
  </si>
  <si>
    <t>AMD12</t>
  </si>
  <si>
    <t>AMD11</t>
  </si>
  <si>
    <t>AMD10</t>
  </si>
  <si>
    <t>AMD09</t>
  </si>
  <si>
    <t>AMD08</t>
  </si>
  <si>
    <t>AMD07</t>
  </si>
  <si>
    <t>AMD06</t>
  </si>
  <si>
    <t>AMD05</t>
  </si>
  <si>
    <t>AMD04</t>
  </si>
  <si>
    <t>AMD03</t>
  </si>
  <si>
    <t>AMD02</t>
  </si>
  <si>
    <t>AMD01</t>
  </si>
  <si>
    <t>OMD24</t>
  </si>
  <si>
    <t>OMD23</t>
  </si>
  <si>
    <t>OMD22</t>
  </si>
  <si>
    <t>OMD21</t>
  </si>
  <si>
    <t>OMD20</t>
  </si>
  <si>
    <t>OMD19</t>
  </si>
  <si>
    <t>OMD18</t>
  </si>
  <si>
    <t>OMD17</t>
  </si>
  <si>
    <t>OMD16</t>
  </si>
  <si>
    <t>OMD15</t>
  </si>
  <si>
    <t>OMD14</t>
  </si>
  <si>
    <t>OMD13</t>
  </si>
  <si>
    <t>IMD32</t>
  </si>
  <si>
    <t>IMD31</t>
  </si>
  <si>
    <t>IMD30</t>
  </si>
  <si>
    <t>IMD29</t>
  </si>
  <si>
    <t>IMD28</t>
  </si>
  <si>
    <t>IMD27</t>
  </si>
  <si>
    <t>IMD26</t>
  </si>
  <si>
    <t>IMD25</t>
  </si>
  <si>
    <t>IMD24</t>
  </si>
  <si>
    <t>IMD23</t>
  </si>
  <si>
    <t>IMD22</t>
  </si>
  <si>
    <t>IMD21</t>
  </si>
  <si>
    <t>IMD20</t>
  </si>
  <si>
    <t>IMD19</t>
  </si>
  <si>
    <t>IMD18</t>
  </si>
  <si>
    <t>IMD17</t>
  </si>
  <si>
    <t>IMD16</t>
  </si>
  <si>
    <t>IMD15</t>
  </si>
  <si>
    <t>IMD14</t>
  </si>
  <si>
    <t>IMD13</t>
  </si>
  <si>
    <t>IMD12</t>
  </si>
  <si>
    <t>IMD11</t>
  </si>
  <si>
    <t>IMD10</t>
  </si>
  <si>
    <t>IMD09</t>
  </si>
  <si>
    <t>IMD08</t>
  </si>
  <si>
    <t>IMD07</t>
  </si>
  <si>
    <t>IMD06</t>
  </si>
  <si>
    <t>IMD05</t>
  </si>
  <si>
    <t>IMD04</t>
  </si>
  <si>
    <t>IMD03</t>
  </si>
  <si>
    <t>IMD02</t>
  </si>
  <si>
    <t>IMD01</t>
  </si>
  <si>
    <t>ISD12</t>
  </si>
  <si>
    <t>ISD11</t>
  </si>
  <si>
    <t>ISD10</t>
  </si>
  <si>
    <t>ISD09</t>
  </si>
  <si>
    <t>ISD08</t>
  </si>
  <si>
    <t>ISD07</t>
  </si>
  <si>
    <t>ISD06</t>
  </si>
  <si>
    <t>ISD05</t>
  </si>
  <si>
    <t>ISD04</t>
  </si>
  <si>
    <t>ISD03</t>
  </si>
  <si>
    <t>ISD02</t>
  </si>
  <si>
    <t>ISD01</t>
  </si>
  <si>
    <t>MS24</t>
  </si>
  <si>
    <t>MS23</t>
  </si>
  <si>
    <t>MS22</t>
  </si>
  <si>
    <t>MS21</t>
  </si>
  <si>
    <t>MS20</t>
  </si>
  <si>
    <t>MS19</t>
  </si>
  <si>
    <t>MS18</t>
  </si>
  <si>
    <t>MS17</t>
  </si>
  <si>
    <t>MS16</t>
  </si>
  <si>
    <t>MS15</t>
  </si>
  <si>
    <t>MS14</t>
  </si>
  <si>
    <t>MS13</t>
  </si>
  <si>
    <t>MS12</t>
  </si>
  <si>
    <t>MS11</t>
  </si>
  <si>
    <t>MS10</t>
  </si>
  <si>
    <t>MS09</t>
  </si>
  <si>
    <t>MS08</t>
  </si>
  <si>
    <t>MS07</t>
  </si>
  <si>
    <t>MS06</t>
  </si>
  <si>
    <t>MS05</t>
  </si>
  <si>
    <t>MS04</t>
  </si>
  <si>
    <t>MS03</t>
  </si>
  <si>
    <t>MS02</t>
  </si>
  <si>
    <t>MS01</t>
  </si>
  <si>
    <t>Code</t>
  </si>
  <si>
    <t>Registrations Input (Enter names here; Schedule auto-updates)</t>
  </si>
  <si>
    <t>1 vs 2</t>
  </si>
  <si>
    <t>Final</t>
  </si>
  <si>
    <t>Warm-up / Open Play</t>
  </si>
  <si>
    <t>2 vs WC 1</t>
  </si>
  <si>
    <t>1 vs 4</t>
  </si>
  <si>
    <t>Semi Final</t>
  </si>
  <si>
    <t>2 vs 5</t>
  </si>
  <si>
    <t>1 vs 6</t>
  </si>
  <si>
    <t>3 vs 4</t>
  </si>
  <si>
    <t>5 vs 6</t>
  </si>
  <si>
    <t>Pre-Q</t>
  </si>
  <si>
    <t>Group</t>
  </si>
  <si>
    <t>2 vs 3</t>
  </si>
  <si>
    <t>4 vs 5</t>
  </si>
  <si>
    <t>2 vs 7</t>
  </si>
  <si>
    <t>1 vs 8</t>
  </si>
  <si>
    <t>3 vs 6</t>
  </si>
  <si>
    <t>7 vs 8</t>
  </si>
  <si>
    <t>3 vs WC 1</t>
  </si>
  <si>
    <t>3 vs 2</t>
  </si>
  <si>
    <t>2 vs 1</t>
  </si>
  <si>
    <t>1 vs 3</t>
  </si>
  <si>
    <t>Semi Finals</t>
  </si>
  <si>
    <t>2 vs WC</t>
  </si>
  <si>
    <t>Warm-up</t>
  </si>
  <si>
    <t>Pre-Quarters</t>
  </si>
  <si>
    <t>Colour Legend</t>
  </si>
  <si>
    <t>TeamB_Code</t>
  </si>
  <si>
    <t>TeamA_Code</t>
  </si>
  <si>
    <t>Pool No</t>
  </si>
  <si>
    <t>Round Name</t>
  </si>
  <si>
    <t>Pool 5 vs 6</t>
  </si>
  <si>
    <t>Pool 3 vs 4</t>
  </si>
  <si>
    <t>WC 1</t>
  </si>
  <si>
    <t>Pool 2 vs 5</t>
  </si>
  <si>
    <t>Pool 1 vs 6</t>
  </si>
  <si>
    <t>Pool 1 vs 2</t>
  </si>
  <si>
    <t>Pool 7 vs 8</t>
  </si>
  <si>
    <t>Pool 4 vs 5</t>
  </si>
  <si>
    <t>Pool 3 vs 6</t>
  </si>
  <si>
    <t>Pool 2 vs 7</t>
  </si>
  <si>
    <t>Pool 1 vs 8</t>
  </si>
  <si>
    <t>Pool 3 vs 2</t>
  </si>
  <si>
    <t>Pool 2 vs 1</t>
  </si>
  <si>
    <t>Pool 1 vs 3</t>
  </si>
  <si>
    <t>WC 01</t>
  </si>
  <si>
    <t>Pool 2 vs WC</t>
  </si>
  <si>
    <t>Sanjay Gatti</t>
  </si>
  <si>
    <t>Rajib Sengupta</t>
  </si>
  <si>
    <t>UPI ID</t>
  </si>
  <si>
    <t>Player 1</t>
  </si>
  <si>
    <t>Player 2</t>
  </si>
  <si>
    <t>Player 3</t>
  </si>
  <si>
    <t>Player 4</t>
  </si>
  <si>
    <t>Team 1 Score</t>
  </si>
  <si>
    <t>Team 1 Outcome</t>
  </si>
  <si>
    <t>Team 2 Score</t>
  </si>
  <si>
    <t>Team 2 Outcome</t>
  </si>
  <si>
    <t>Prabhakar Ghadge</t>
  </si>
  <si>
    <t>Team ID</t>
  </si>
  <si>
    <t>Team 2 Name</t>
  </si>
  <si>
    <t>Team 1 Name</t>
  </si>
  <si>
    <t>Standing</t>
  </si>
  <si>
    <t>Points</t>
  </si>
  <si>
    <t>Matches Played</t>
  </si>
  <si>
    <t>Wins</t>
  </si>
  <si>
    <t>Win %</t>
  </si>
  <si>
    <t>Total Score</t>
  </si>
  <si>
    <t>Conceded Score</t>
  </si>
  <si>
    <t>Concession ratio %</t>
  </si>
  <si>
    <t>OPEN MEN'S SINGLES</t>
  </si>
  <si>
    <t>INTERMEDIATE 35+ SPLIT DOUBLES</t>
  </si>
  <si>
    <t>OPEN MIXED DOUBLES</t>
  </si>
  <si>
    <t>ADVANCED MEN'S DOUBLES</t>
  </si>
  <si>
    <t>45+ SPLIT DOUBLES</t>
  </si>
  <si>
    <t>BEGINNERS MEN'S DOUBLES</t>
  </si>
  <si>
    <t>BEGINNERS MIXED DOUBLES</t>
  </si>
  <si>
    <t>OPEN WOMEN'S DOUBLES</t>
  </si>
  <si>
    <t>Hema Thakkar</t>
  </si>
  <si>
    <t>Amandeep Saini</t>
  </si>
  <si>
    <t>Player 1 DUPR</t>
  </si>
  <si>
    <t>Player 2 DUPR</t>
  </si>
  <si>
    <t>LVZE25</t>
  </si>
  <si>
    <t>PZDOMQ</t>
  </si>
  <si>
    <t>Yash Salvi</t>
  </si>
  <si>
    <t>Chaitanya Hirlekar</t>
  </si>
  <si>
    <t>ZDXQQW</t>
  </si>
  <si>
    <t>XKPMX7</t>
  </si>
  <si>
    <t>WN02OM</t>
  </si>
  <si>
    <t>5E4V50</t>
  </si>
  <si>
    <t>Godfrey Kattancherry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</si>
</sst>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_ * #,##0.0_ ;_ * \-#,##0.0_ ;_ * &quot;-&quot;?_ ;_ @_ "/>
    <numFmt numFmtId="167" formatCode="0.0%"/>
    <numFmt numFmtId="168" formatCode="[$-10409]hh:mm\ AM/PM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ptos Light"/>
      <family val="2"/>
    </font>
    <font>
      <b/>
      <sz val="8"/>
      <name val="Aptos Light"/>
      <family val="2"/>
    </font>
    <font>
      <sz val="8"/>
      <color theme="1"/>
      <name val="Aptos Light"/>
      <family val="2"/>
    </font>
    <font>
      <b/>
      <sz val="8"/>
      <color rgb="FFFFFFFF"/>
      <name val="Aptos Light"/>
      <family val="2"/>
    </font>
    <font>
      <sz val="8"/>
      <color rgb="FFFF0000"/>
      <name val="Aptos Light"/>
      <family val="2"/>
    </font>
    <font>
      <b/>
      <sz val="8"/>
      <color theme="1"/>
      <name val="Aptos Light"/>
      <family val="2"/>
    </font>
    <font>
      <i/>
      <sz val="8"/>
      <color theme="1"/>
      <name val="Aptos Light"/>
      <family val="2"/>
    </font>
    <font>
      <i/>
      <sz val="8"/>
      <color rgb="FFFF0000"/>
      <name val="Aptos Light"/>
      <family val="2"/>
    </font>
    <font>
      <sz val="9"/>
      <color theme="1"/>
      <name val="Aptos Light"/>
      <family val="2"/>
    </font>
    <font>
      <b/>
      <sz val="9"/>
      <color theme="1"/>
      <name val="Aptos Light"/>
      <family val="2"/>
    </font>
    <font>
      <b/>
      <sz val="9"/>
      <color theme="0"/>
      <name val="Aptos Light"/>
      <family val="2"/>
    </font>
    <font>
      <sz val="9"/>
      <color theme="0"/>
      <name val="Aptos Light"/>
      <family val="2"/>
    </font>
    <font>
      <b/>
      <sz val="10"/>
      <color theme="1"/>
      <name val="Aptos Light"/>
      <family val="2"/>
    </font>
    <font>
      <b/>
      <sz val="11"/>
      <color theme="0"/>
      <name val="Aptos Light"/>
      <family val="2"/>
    </font>
    <font>
      <sz val="9"/>
      <color rgb="FFFF0000"/>
      <name val="Aptos Light"/>
      <family val="2"/>
    </font>
    <font>
      <i/>
      <sz val="9"/>
      <color theme="1"/>
      <name val="Aptos Light"/>
      <family val="2"/>
    </font>
    <font>
      <b/>
      <sz val="9"/>
      <color rgb="FFFF0000"/>
      <name val="Aptos Light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9"/>
      <name val="Aptos Light"/>
      <family val="2"/>
    </font>
    <font>
      <b/>
      <sz val="9"/>
      <color rgb="FFFFFFFF"/>
      <name val="Aptos Light"/>
      <family val="2"/>
    </font>
    <font>
      <b/>
      <sz val="9"/>
      <name val="Aptos Light"/>
      <family val="2"/>
    </font>
    <font>
      <sz val="8"/>
      <color theme="1"/>
      <name val="Aptos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Aptos"/>
      <family val="2"/>
    </font>
    <font>
      <b/>
      <sz val="8"/>
      <color theme="1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E7E6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0F0F0F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164" fontId="6" fillId="4" borderId="0" xfId="1" applyNumberFormat="1" applyFont="1" applyFill="1"/>
    <xf numFmtId="0" fontId="7" fillId="0" borderId="1" xfId="0" applyFont="1" applyBorder="1"/>
    <xf numFmtId="164" fontId="7" fillId="0" borderId="2" xfId="1" applyNumberFormat="1" applyFont="1" applyBorder="1"/>
    <xf numFmtId="164" fontId="7" fillId="0" borderId="3" xfId="1" applyNumberFormat="1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quotePrefix="1" applyFont="1"/>
    <xf numFmtId="164" fontId="7" fillId="0" borderId="3" xfId="0" applyNumberFormat="1" applyFont="1" applyBorder="1"/>
    <xf numFmtId="164" fontId="4" fillId="0" borderId="0" xfId="1" applyNumberFormat="1" applyFont="1"/>
    <xf numFmtId="164" fontId="7" fillId="0" borderId="0" xfId="0" applyNumberFormat="1" applyFont="1"/>
    <xf numFmtId="0" fontId="4" fillId="7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2" fontId="4" fillId="0" borderId="0" xfId="0" applyNumberFormat="1" applyFont="1"/>
    <xf numFmtId="3" fontId="4" fillId="0" borderId="0" xfId="0" applyNumberFormat="1" applyFont="1"/>
    <xf numFmtId="0" fontId="8" fillId="0" borderId="0" xfId="0" quotePrefix="1" applyFont="1"/>
    <xf numFmtId="164" fontId="9" fillId="4" borderId="0" xfId="1" applyNumberFormat="1" applyFont="1" applyFill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12" fillId="8" borderId="0" xfId="0" applyFont="1" applyFill="1" applyAlignment="1">
      <alignment vertical="top"/>
    </xf>
    <xf numFmtId="0" fontId="12" fillId="8" borderId="0" xfId="0" applyFont="1" applyFill="1" applyAlignment="1">
      <alignment horizontal="center" vertical="top"/>
    </xf>
    <xf numFmtId="0" fontId="12" fillId="8" borderId="0" xfId="0" applyFont="1" applyFill="1" applyAlignment="1">
      <alignment horizontal="center" vertical="top" wrapText="1"/>
    </xf>
    <xf numFmtId="0" fontId="12" fillId="8" borderId="0" xfId="0" applyFont="1" applyFill="1" applyAlignment="1">
      <alignment horizontal="right" vertical="top" wrapText="1"/>
    </xf>
    <xf numFmtId="0" fontId="12" fillId="8" borderId="0" xfId="0" applyFont="1" applyFill="1" applyAlignment="1">
      <alignment horizontal="right" vertical="top"/>
    </xf>
    <xf numFmtId="0" fontId="10" fillId="0" borderId="0" xfId="0" applyFont="1" applyAlignment="1">
      <alignment horizontal="right"/>
    </xf>
    <xf numFmtId="165" fontId="10" fillId="0" borderId="0" xfId="1" applyNumberFormat="1" applyFont="1" applyAlignment="1">
      <alignment horizontal="right"/>
    </xf>
    <xf numFmtId="43" fontId="10" fillId="0" borderId="0" xfId="0" applyNumberFormat="1" applyFont="1"/>
    <xf numFmtId="0" fontId="14" fillId="0" borderId="0" xfId="0" applyFont="1" applyAlignment="1">
      <alignment horizontal="right"/>
    </xf>
    <xf numFmtId="164" fontId="11" fillId="0" borderId="0" xfId="1" applyNumberFormat="1" applyFont="1"/>
    <xf numFmtId="164" fontId="10" fillId="0" borderId="0" xfId="1" applyNumberFormat="1" applyFont="1"/>
    <xf numFmtId="164" fontId="10" fillId="0" borderId="0" xfId="0" applyNumberFormat="1" applyFont="1"/>
    <xf numFmtId="164" fontId="11" fillId="0" borderId="0" xfId="0" applyNumberFormat="1" applyFont="1"/>
    <xf numFmtId="0" fontId="13" fillId="8" borderId="0" xfId="0" applyFont="1" applyFill="1"/>
    <xf numFmtId="0" fontId="15" fillId="8" borderId="0" xfId="0" applyFont="1" applyFill="1" applyAlignment="1">
      <alignment horizontal="left" indent="19"/>
    </xf>
    <xf numFmtId="0" fontId="11" fillId="0" borderId="0" xfId="0" applyFont="1" applyAlignment="1">
      <alignment horizontal="right"/>
    </xf>
    <xf numFmtId="166" fontId="10" fillId="0" borderId="0" xfId="0" applyNumberFormat="1" applyFont="1"/>
    <xf numFmtId="165" fontId="10" fillId="0" borderId="0" xfId="1" applyNumberFormat="1" applyFont="1"/>
    <xf numFmtId="0" fontId="11" fillId="0" borderId="0" xfId="0" applyFont="1" applyAlignment="1">
      <alignment vertical="top" wrapText="1"/>
    </xf>
    <xf numFmtId="164" fontId="11" fillId="7" borderId="0" xfId="1" applyNumberFormat="1" applyFont="1" applyFill="1" applyAlignment="1">
      <alignment horizontal="right"/>
    </xf>
    <xf numFmtId="164" fontId="16" fillId="4" borderId="0" xfId="1" applyNumberFormat="1" applyFont="1" applyFill="1"/>
    <xf numFmtId="164" fontId="16" fillId="4" borderId="0" xfId="0" applyNumberFormat="1" applyFont="1" applyFill="1"/>
    <xf numFmtId="0" fontId="17" fillId="0" borderId="0" xfId="0" applyFont="1"/>
    <xf numFmtId="167" fontId="17" fillId="0" borderId="0" xfId="2" applyNumberFormat="1" applyFont="1"/>
    <xf numFmtId="164" fontId="10" fillId="0" borderId="0" xfId="1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9" fontId="10" fillId="0" borderId="0" xfId="2" applyFont="1"/>
    <xf numFmtId="164" fontId="18" fillId="9" borderId="0" xfId="1" applyNumberFormat="1" applyFont="1" applyFill="1"/>
    <xf numFmtId="0" fontId="10" fillId="9" borderId="0" xfId="0" applyFont="1" applyFill="1"/>
    <xf numFmtId="164" fontId="10" fillId="9" borderId="0" xfId="0" applyNumberFormat="1" applyFont="1" applyFill="1"/>
    <xf numFmtId="0" fontId="11" fillId="0" borderId="0" xfId="0" applyFont="1" applyAlignment="1">
      <alignment horizontal="right" vertical="top" wrapText="1"/>
    </xf>
    <xf numFmtId="164" fontId="11" fillId="0" borderId="0" xfId="1" applyNumberFormat="1" applyFont="1" applyAlignment="1">
      <alignment horizontal="right"/>
    </xf>
    <xf numFmtId="164" fontId="18" fillId="0" borderId="0" xfId="1" applyNumberFormat="1" applyFont="1"/>
    <xf numFmtId="164" fontId="16" fillId="0" borderId="0" xfId="1" applyNumberFormat="1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5" borderId="0" xfId="0" applyFont="1" applyFill="1"/>
    <xf numFmtId="0" fontId="20" fillId="5" borderId="0" xfId="0" applyFont="1" applyFill="1" applyAlignment="1">
      <alignment horizontal="right"/>
    </xf>
    <xf numFmtId="0" fontId="21" fillId="0" borderId="0" xfId="0" applyFont="1" applyAlignment="1">
      <alignment vertical="center"/>
    </xf>
    <xf numFmtId="0" fontId="21" fillId="10" borderId="0" xfId="0" applyFont="1" applyFill="1" applyAlignment="1">
      <alignment horizontal="center" vertical="center"/>
    </xf>
    <xf numFmtId="168" fontId="21" fillId="10" borderId="0" xfId="0" applyNumberFormat="1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168" fontId="21" fillId="11" borderId="0" xfId="0" applyNumberFormat="1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68" fontId="21" fillId="12" borderId="0" xfId="0" applyNumberFormat="1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168" fontId="21" fillId="13" borderId="0" xfId="0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168" fontId="21" fillId="14" borderId="0" xfId="0" applyNumberFormat="1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168" fontId="21" fillId="15" borderId="0" xfId="0" applyNumberFormat="1" applyFont="1" applyFill="1" applyAlignment="1">
      <alignment horizontal="center" vertical="center"/>
    </xf>
    <xf numFmtId="0" fontId="21" fillId="11" borderId="0" xfId="0" applyFont="1" applyFill="1"/>
    <xf numFmtId="0" fontId="21" fillId="10" borderId="0" xfId="0" applyFont="1" applyFill="1"/>
    <xf numFmtId="0" fontId="21" fillId="12" borderId="0" xfId="0" applyFont="1" applyFill="1"/>
    <xf numFmtId="0" fontId="21" fillId="13" borderId="0" xfId="0" applyFont="1" applyFill="1"/>
    <xf numFmtId="0" fontId="21" fillId="14" borderId="0" xfId="0" applyFont="1" applyFill="1"/>
    <xf numFmtId="0" fontId="21" fillId="15" borderId="0" xfId="0" applyFont="1" applyFill="1"/>
    <xf numFmtId="0" fontId="23" fillId="0" borderId="0" xfId="0" applyFont="1"/>
    <xf numFmtId="0" fontId="22" fillId="16" borderId="0" xfId="0" applyFont="1" applyFill="1" applyAlignment="1">
      <alignment horizontal="center" vertical="center"/>
    </xf>
    <xf numFmtId="0" fontId="22" fillId="16" borderId="0" xfId="0" applyFont="1" applyFill="1" applyAlignment="1">
      <alignment vertical="center"/>
    </xf>
    <xf numFmtId="0" fontId="10" fillId="7" borderId="0" xfId="0" applyFont="1" applyFill="1"/>
    <xf numFmtId="0" fontId="16" fillId="0" borderId="0" xfId="0" applyFont="1" applyAlignment="1">
      <alignment horizontal="center"/>
    </xf>
    <xf numFmtId="0" fontId="16" fillId="0" borderId="0" xfId="0" applyFont="1"/>
    <xf numFmtId="0" fontId="10" fillId="7" borderId="0" xfId="0" applyFont="1" applyFill="1" applyAlignment="1">
      <alignment horizontal="right"/>
    </xf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4" fillId="0" borderId="0" xfId="0" applyFont="1"/>
    <xf numFmtId="0" fontId="26" fillId="0" borderId="0" xfId="0" applyFont="1"/>
    <xf numFmtId="0" fontId="27" fillId="0" borderId="0" xfId="0" applyFont="1"/>
    <xf numFmtId="0" fontId="19" fillId="7" borderId="0" xfId="0" applyFont="1" applyFill="1"/>
    <xf numFmtId="168" fontId="26" fillId="0" borderId="0" xfId="0" applyNumberFormat="1" applyFont="1"/>
    <xf numFmtId="0" fontId="5" fillId="16" borderId="6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15" borderId="0" xfId="0" applyFont="1" applyFill="1" applyAlignment="1">
      <alignment horizontal="left" vertical="center"/>
    </xf>
    <xf numFmtId="0" fontId="21" fillId="14" borderId="0" xfId="0" applyFont="1" applyFill="1" applyAlignment="1">
      <alignment horizontal="left" vertical="center"/>
    </xf>
    <xf numFmtId="0" fontId="21" fillId="13" borderId="0" xfId="0" applyFont="1" applyFill="1" applyAlignment="1">
      <alignment horizontal="left" vertical="center"/>
    </xf>
    <xf numFmtId="0" fontId="21" fillId="11" borderId="0" xfId="0" applyFont="1" applyFill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left" vertical="center"/>
    </xf>
    <xf numFmtId="9" fontId="24" fillId="0" borderId="0" xfId="2" applyFont="1"/>
    <xf numFmtId="0" fontId="5" fillId="16" borderId="5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0" fillId="6" borderId="0" xfId="0" applyFont="1" applyFill="1" applyAlignment="1">
      <alignment horizontal="center" vertical="center" wrapText="1"/>
    </xf>
    <xf numFmtId="0" fontId="12" fillId="17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28" fillId="18" borderId="7" xfId="0" applyFont="1" applyFill="1" applyBorder="1" applyAlignment="1">
      <alignment horizontal="center" vertical="center"/>
    </xf>
    <xf numFmtId="0" fontId="28" fillId="18" borderId="8" xfId="0" applyFont="1" applyFill="1" applyBorder="1" applyAlignment="1">
      <alignment horizontal="center" vertical="center"/>
    </xf>
    <xf numFmtId="0" fontId="28" fillId="18" borderId="9" xfId="0" applyFont="1" applyFill="1" applyBorder="1" applyAlignment="1">
      <alignment horizontal="center" vertical="center"/>
    </xf>
    <xf numFmtId="0" fontId="28" fillId="18" borderId="13" xfId="0" applyFont="1" applyFill="1" applyBorder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28" fillId="18" borderId="14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18" borderId="11" xfId="0" applyFont="1" applyFill="1" applyBorder="1" applyAlignment="1">
      <alignment horizontal="center" vertical="center"/>
    </xf>
    <xf numFmtId="0" fontId="28" fillId="18" borderId="12" xfId="0" applyFont="1" applyFill="1" applyBorder="1" applyAlignment="1">
      <alignment horizontal="center" vertical="center"/>
    </xf>
    <xf numFmtId="0" fontId="22" fillId="19" borderId="0" xfId="0" applyFont="1" applyFill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1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right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Light"/>
        <family val="2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 Light"/>
        <family val="2"/>
        <scheme val="none"/>
      </font>
      <fill>
        <patternFill patternType="solid">
          <fgColor indexed="64"/>
          <bgColor rgb="FF1F4E79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numFmt numFmtId="0" formatCode="General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numFmt numFmtId="0" formatCode="General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b val="0"/>
        <strike val="0"/>
        <outline val="0"/>
        <shadow val="0"/>
        <u val="none"/>
        <vertAlign val="baseline"/>
        <sz val="9"/>
        <color theme="1"/>
        <name val="Aptos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 Light"/>
        <family val="2"/>
        <scheme val="none"/>
      </font>
      <fill>
        <patternFill patternType="solid">
          <fgColor indexed="64"/>
          <bgColor rgb="FF0F0F0F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85BC7-85EF-4E82-9ED1-E1C93128248D}" name="Registrations" displayName="Registrations" ref="A3:H211" totalsRowShown="0" headerRowDxfId="132" dataDxfId="131">
  <autoFilter ref="A3:H211" xr:uid="{EF219396-9804-4FED-9605-2F0BD02A2B51}">
    <filterColumn colId="0">
      <filters>
        <filter val="Beginner Mx Doubles"/>
      </filters>
    </filterColumn>
  </autoFilter>
  <tableColumns count="8">
    <tableColumn id="1" xr3:uid="{D517BC19-3B58-4CF6-9E9A-C2E3AEE177CF}" name="Category" dataDxfId="130"/>
    <tableColumn id="2" xr3:uid="{4D3B1E3B-7B1E-4A64-9729-F092502C064E}" name="Code" dataDxfId="129"/>
    <tableColumn id="3" xr3:uid="{A463604A-0357-4E7B-925C-490D80AFCCEB}" name="Player 1" dataDxfId="128"/>
    <tableColumn id="4" xr3:uid="{E0F427BF-4177-4873-9427-DF712BC181D3}" name="Player 2" dataDxfId="127"/>
    <tableColumn id="5" xr3:uid="{3F1E879F-F8DB-4BBE-8FF2-C8F4F63F2846}" name="Team ID" dataDxfId="126">
      <calculatedColumnFormula>IF(Registrations[[#This Row],[Player 2]]="",Registrations[[#This Row],[Player 1]],Registrations[[#This Row],[Player 1]]&amp;" / "&amp;Registrations[[#This Row],[Player 2]])</calculatedColumnFormula>
    </tableColumn>
    <tableColumn id="6" xr3:uid="{DBD8A16E-555C-42AC-AAB0-9EA26B4AE3AE}" name="UPI ID" dataDxfId="125"/>
    <tableColumn id="7" xr3:uid="{7BA8311F-8038-4EEC-8217-10CD73F1A9EE}" name="Player 1 DUPR" dataDxfId="1"/>
    <tableColumn id="8" xr3:uid="{5B9927D5-5184-4EA3-80C5-78D11EB43258}" name="Player 2 DUPR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B21E3C-EEC4-4CE9-9BA0-44E50377344B}" name="Schedules" displayName="Schedules" ref="A1:R427" totalsRowShown="0" headerRowDxfId="152" dataDxfId="151">
  <autoFilter ref="A1:R427" xr:uid="{C5B21E3C-EEC4-4CE9-9BA0-44E50377344B}">
    <filterColumn colId="0">
      <filters>
        <filter val="Open Women's Doubles"/>
      </filters>
    </filterColumn>
  </autoFilter>
  <tableColumns count="18">
    <tableColumn id="1" xr3:uid="{2FBD11B6-0B2B-45B2-93A6-674FAFDD7FEA}" name="Category" dataDxfId="150"/>
    <tableColumn id="2" xr3:uid="{6DE982A5-B33A-46C8-91C7-1B6ABE3711EC}" name="Venue" dataDxfId="149"/>
    <tableColumn id="3" xr3:uid="{2F1327CA-F3FC-4EFB-87DC-7C0B3E4E0939}" name="Start Time" dataDxfId="148"/>
    <tableColumn id="4" xr3:uid="{67D9BD45-7FAE-4564-9494-D9F7764BA53F}" name="End Time" dataDxfId="147"/>
    <tableColumn id="5" xr3:uid="{C7A5BB97-6BC9-47DC-A159-1AC1B5395D8F}" name="Round Name" dataDxfId="146"/>
    <tableColumn id="6" xr3:uid="{17C03626-AA3A-409C-86AB-0D542683624E}" name="Court No" dataDxfId="145">
      <calculatedColumnFormula>#REF!</calculatedColumnFormula>
    </tableColumn>
    <tableColumn id="7" xr3:uid="{36CE8474-FBA6-49BB-A7E4-9230F94E3499}" name="Pool No" dataDxfId="144"/>
    <tableColumn id="8" xr3:uid="{AD13B23D-A892-4BA0-AC9A-DBFFBA54EAD7}" name="Match Details" dataDxfId="143"/>
    <tableColumn id="9" xr3:uid="{F57019D7-3B74-412E-B042-936C05B91AC9}" name="Player 1" dataDxfId="142"/>
    <tableColumn id="10" xr3:uid="{78BD7197-0EA9-4C37-9865-4F2B9FFBBCA9}" name="Player 2" dataDxfId="141"/>
    <tableColumn id="11" xr3:uid="{CCD96542-EB2D-4E8E-8E83-BDBFB668038A}" name="Team 1 Name" dataDxfId="140">
      <calculatedColumnFormula>IF(Schedules[[#This Row],[Player 2]]="",Schedules[[#This Row],[Player 1]],Schedules[[#This Row],[Player 1]]&amp;" / "&amp;Schedules[[#This Row],[Player 2]])</calculatedColumnFormula>
    </tableColumn>
    <tableColumn id="12" xr3:uid="{BD5EFA80-89DC-487F-9CDB-A628672CE71C}" name="Team 1 Score" dataDxfId="139"/>
    <tableColumn id="13" xr3:uid="{C531FB4A-378B-42A2-915B-89B3AFFC4CFC}" name="Team 1 Outcome" dataDxfId="138"/>
    <tableColumn id="14" xr3:uid="{635EE515-E28C-4133-B515-682CC39D543E}" name="Player 3" dataDxfId="137"/>
    <tableColumn id="15" xr3:uid="{A08A5EE5-FE4F-4CF2-A00D-B1DB774935A6}" name="Player 4" dataDxfId="136"/>
    <tableColumn id="18" xr3:uid="{2FA8DEBF-2397-41B7-892A-DAE54E3416EA}" name="Team 2 Name" dataDxfId="135">
      <calculatedColumnFormula>IF(Schedules[[#This Row],[Player 4]]="",Schedules[[#This Row],[Player 3]],Schedules[[#This Row],[Player 3]]&amp;" / "&amp;Schedules[[#This Row],[Player 4]])</calculatedColumnFormula>
    </tableColumn>
    <tableColumn id="16" xr3:uid="{5CFB4813-0AC7-4448-9977-7A3EF16629F3}" name="Team 2 Score" dataDxfId="134"/>
    <tableColumn id="17" xr3:uid="{67BF923E-07B7-453A-A761-C6E1A1FACEAB}" name="Team 2 Outcome" dataDxfId="1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7F9755-626A-4705-A2C4-2888959D26C8}" name="OpenSingles" displayName="OpenSingles" ref="A3:J27" totalsRowShown="0" headerRowDxfId="124" dataDxfId="122" headerRowBorderDxfId="123">
  <autoFilter ref="A3:J27" xr:uid="{137F9755-626A-4705-A2C4-2888959D26C8}"/>
  <tableColumns count="10">
    <tableColumn id="1" xr3:uid="{2BE352A6-E7D0-4521-A2F2-6D655C443450}" name="Category" dataDxfId="121">
      <calculatedColumnFormula>'Registrations'!A4</calculatedColumnFormula>
    </tableColumn>
    <tableColumn id="2" xr3:uid="{EDEB750C-E333-4924-8921-C2C07BD850AD}" name="Teams" dataDxfId="120">
      <calculatedColumnFormula>'Registrations'!E4</calculatedColumnFormula>
    </tableColumn>
    <tableColumn id="3" xr3:uid="{06853860-F902-40B9-B965-D2A635733378}" name="Standing" dataDxfId="119">
      <calculatedColumnFormula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calculatedColumnFormula>
    </tableColumn>
    <tableColumn id="4" xr3:uid="{A84F7284-B9A0-4551-A0F4-EA8516DEA7F5}" name="Points" dataDxfId="118">
      <calculatedColumnFormula>OpenSingles[[#This Row],[Wins]]*3</calculatedColumnFormula>
    </tableColumn>
    <tableColumn id="5" xr3:uid="{7935FFA6-97AF-43C7-8AEF-518A77569805}" name="Matches Played" dataDxfId="117">
      <calculatedColumnFormula>COUNTIF(Schedules[Team 1 Name], B4) + COUNTIF(Schedules[Team 2 Name], B4)</calculatedColumnFormula>
    </tableColumn>
    <tableColumn id="6" xr3:uid="{213BF8EE-1AA1-438B-996D-4A571A9E83C4}" name="Wins" dataDxfId="116">
      <calculatedColumnFormula>COUNTIFS(Schedules[Team 1 Name], B4, Schedules[Team 1 Outcome], "Win") + COUNTIFS(Schedules[Team 2 Name], B4, Schedules[Team 2 Outcome], "Win")</calculatedColumnFormula>
    </tableColumn>
    <tableColumn id="7" xr3:uid="{99201620-8325-42CC-84ED-87DBD4971367}" name="Win %" dataDxfId="115" dataCellStyle="Percent">
      <calculatedColumnFormula>IFERROR(OpenSingles[[#This Row],[Wins]]/OpenSingles[[#This Row],[Matches Played]],0%)</calculatedColumnFormula>
    </tableColumn>
    <tableColumn id="8" xr3:uid="{D693F3D6-5298-4083-AA82-431B788350EA}" name="Total Score" dataDxfId="114">
      <calculatedColumnFormula>SUMIFS(Schedules[Team 1 Score],Schedules[Team 1 Name],B4)+SUMIFS(Schedules[Team 2 Score],Schedules[Team 2 Name],B4)</calculatedColumnFormula>
    </tableColumn>
    <tableColumn id="9" xr3:uid="{1C0402E3-35AB-4136-9CDC-6B36F700B3E9}" name="Conceded Score" dataDxfId="113">
      <calculatedColumnFormula>SUMIFS(Schedules[Team 2 Score],Schedules[Team 1 Name],B4)+SUMIFS(Schedules[Team 1 Score],Schedules[Team 2 Name],B4)</calculatedColumnFormula>
    </tableColumn>
    <tableColumn id="10" xr3:uid="{05A4763A-B641-489B-910E-8BC3A355D279}" name="Concession ratio %" dataDxfId="112" dataCellStyle="Percent">
      <calculatedColumnFormula>IFERROR(OpenSingles[[#This Row],[Conceded Score]]/OpenSingles[[#This Row],[Total Score]],0%)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CD324A-D856-4B86-88B0-95DD2F09A3ED}" name="Int35SD" displayName="Int35SD" ref="A32:J44" totalsRowShown="0" headerRowDxfId="111" dataDxfId="109" headerRowBorderDxfId="110">
  <autoFilter ref="A32:J44" xr:uid="{53CD324A-D856-4B86-88B0-95DD2F09A3ED}"/>
  <tableColumns count="10">
    <tableColumn id="1" xr3:uid="{6A9258E8-F79D-47AB-BB41-F0313A712B7E}" name="Category" dataDxfId="108">
      <calculatedColumnFormula>'Registrations'!A28</calculatedColumnFormula>
    </tableColumn>
    <tableColumn id="2" xr3:uid="{4594295B-532F-4BB5-ADAE-9F4414438E24}" name="Teams" dataDxfId="107">
      <calculatedColumnFormula>'Registrations'!E28</calculatedColumnFormula>
    </tableColumn>
    <tableColumn id="3" xr3:uid="{8002B7FD-2B31-45B7-A2A0-2E41C1073043}" name="Standing" dataDxfId="106">
      <calculatedColumnFormula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calculatedColumnFormula>
    </tableColumn>
    <tableColumn id="4" xr3:uid="{0AF6FB8E-7A4A-499D-9611-66BC6597429A}" name="Points" dataDxfId="105">
      <calculatedColumnFormula>Int35SD[[#This Row],[Wins]]*3</calculatedColumnFormula>
    </tableColumn>
    <tableColumn id="5" xr3:uid="{9C232031-D052-4238-8A60-67542E6E81AA}" name="Matches Played" dataDxfId="104">
      <calculatedColumnFormula>COUNTIF(Schedules[Team 1 Name], B33) + COUNTIF(Schedules[Team 2 Name], B33)</calculatedColumnFormula>
    </tableColumn>
    <tableColumn id="6" xr3:uid="{DEAA035D-9450-4089-B403-70EA99B8CC65}" name="Wins" dataDxfId="103">
      <calculatedColumnFormula>COUNTIFS(Schedules[Team 1 Name], B33, Schedules[Team 1 Outcome], "Win") + COUNTIFS(Schedules[Team 2 Name], B33, Schedules[Team 2 Outcome], "Win")</calculatedColumnFormula>
    </tableColumn>
    <tableColumn id="7" xr3:uid="{AAA02202-C547-4F92-8986-07687721E907}" name="Win %" dataDxfId="102" dataCellStyle="Percent">
      <calculatedColumnFormula>IFERROR(Int35SD[[#This Row],[Wins]]/Int35SD[[#This Row],[Matches Played]],0%)</calculatedColumnFormula>
    </tableColumn>
    <tableColumn id="8" xr3:uid="{DB0E2510-0A7C-4E37-98A5-C6A1CCFD6B67}" name="Total Score" dataDxfId="101">
      <calculatedColumnFormula>SUMIFS(Schedules[Team 1 Score],Schedules[Team 1 Name],B33)+SUMIFS(Schedules[Team 2 Score],Schedules[Team 2 Name],B33)</calculatedColumnFormula>
    </tableColumn>
    <tableColumn id="9" xr3:uid="{E988A721-97DB-45A8-B589-CAB110191FFE}" name="Conceded Score" dataDxfId="100">
      <calculatedColumnFormula>SUMIFS(Schedules[Team 2 Score],Schedules[Team 1 Name],B33)+SUMIFS(Schedules[Team 1 Score],Schedules[Team 2 Name],B33)</calculatedColumnFormula>
    </tableColumn>
    <tableColumn id="10" xr3:uid="{4F9D11D7-CB5C-4574-8B9D-DC9F50FC518E}" name="Concession ratio %" dataDxfId="99" dataCellStyle="Percent">
      <calculatedColumnFormula>IFERROR(Int35SD[[#This Row],[Conceded Score]]/Int35SD[[#This Row],[Total Score]],0%)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677816-896D-417D-A34E-3DB4BCC44438}" name="IntMenDoubles" displayName="IntMenDoubles" ref="A49:J81" totalsRowShown="0" headerRowDxfId="98" dataDxfId="96" headerRowBorderDxfId="97" tableBorderDxfId="95">
  <autoFilter ref="A49:J81" xr:uid="{77677816-896D-417D-A34E-3DB4BCC44438}"/>
  <tableColumns count="10">
    <tableColumn id="1" xr3:uid="{8C17C03C-EE74-4917-A10C-438852B36E42}" name="Category" dataDxfId="94">
      <calculatedColumnFormula>'Registrations'!A40</calculatedColumnFormula>
    </tableColumn>
    <tableColumn id="2" xr3:uid="{A943FFC6-B9AB-4AA1-A144-A1AD907876FA}" name="Teams" dataDxfId="93">
      <calculatedColumnFormula>'Registrations'!E40</calculatedColumnFormula>
    </tableColumn>
    <tableColumn id="3" xr3:uid="{C7625074-483C-462B-A2E5-B12513ACFA51}" name="Standing" dataDxfId="92">
      <calculatedColumnFormula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calculatedColumnFormula>
    </tableColumn>
    <tableColumn id="4" xr3:uid="{86CC65C7-F04F-4E1E-955E-0FD3A39254E1}" name="Points" dataDxfId="91">
      <calculatedColumnFormula>IntMenDoubles[[#This Row],[Wins]]*3</calculatedColumnFormula>
    </tableColumn>
    <tableColumn id="5" xr3:uid="{B12F4EBD-4CD8-4593-8127-A4510E35197E}" name="Matches Played" dataDxfId="90">
      <calculatedColumnFormula>COUNTIF(Schedules[Team 1 Name], B50) + COUNTIF(Schedules[Team 2 Name], B50)</calculatedColumnFormula>
    </tableColumn>
    <tableColumn id="6" xr3:uid="{A507D5CC-CA95-4904-9454-351EE89298B5}" name="Wins" dataDxfId="89">
      <calculatedColumnFormula>COUNTIFS(Schedules[Team 1 Name], B50, Schedules[Team 1 Outcome], "Win") + COUNTIFS(Schedules[Team 2 Name], B50, Schedules[Team 2 Outcome], "Win")</calculatedColumnFormula>
    </tableColumn>
    <tableColumn id="7" xr3:uid="{71AA05EA-2430-447B-889C-783C0F5BC2C9}" name="Win %" dataDxfId="88" dataCellStyle="Percent">
      <calculatedColumnFormula>IFERROR(OpenSingles[[#This Row],[Wins]]/OpenSingles[[#This Row],[Matches Played]],0%)</calculatedColumnFormula>
    </tableColumn>
    <tableColumn id="8" xr3:uid="{4B13C358-A454-477C-951D-5AC788FD8034}" name="Total Score" dataDxfId="87">
      <calculatedColumnFormula>SUMIFS(Schedules[Team 1 Score],Schedules[Team 1 Name],B50)+SUMIFS(Schedules[Team 2 Score],Schedules[Team 2 Name],B50)</calculatedColumnFormula>
    </tableColumn>
    <tableColumn id="9" xr3:uid="{2109AEDE-30E2-4CE2-A881-FB11762FD575}" name="Conceded Score" dataDxfId="86">
      <calculatedColumnFormula>SUMIFS(Schedules[Team 2 Score],Schedules[Team 1 Name],B50)+SUMIFS(Schedules[Team 1 Score],Schedules[Team 2 Name],B50)</calculatedColumnFormula>
    </tableColumn>
    <tableColumn id="10" xr3:uid="{1F0B2784-FE38-4CBE-8B3D-8AA16832032F}" name="Concession ratio %" dataDxfId="85" dataCellStyle="Percent">
      <calculatedColumnFormula>IFERROR(IntMenDoubles[[#This Row],[Conceded Score]]/IntMenDoubles[[#This Row],[Total Score]],0%)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B4C935-CF62-4AB7-9695-AC70A779A679}" name="OpenMxD" displayName="OpenMxD" ref="A86:J110" totalsRowShown="0" headerRowDxfId="84" dataDxfId="82" headerRowBorderDxfId="83">
  <autoFilter ref="A86:J110" xr:uid="{2CB4C935-CF62-4AB7-9695-AC70A779A679}"/>
  <tableColumns count="10">
    <tableColumn id="1" xr3:uid="{6785EC2D-02DB-4054-B8A7-92017325A5F5}" name="Category" dataDxfId="81">
      <calculatedColumnFormula>'Registrations'!A72</calculatedColumnFormula>
    </tableColumn>
    <tableColumn id="2" xr3:uid="{FDDCF1B0-E24B-4C02-B03C-876E9AB499C5}" name="Teams" dataDxfId="80">
      <calculatedColumnFormula>'Registrations'!E72</calculatedColumnFormula>
    </tableColumn>
    <tableColumn id="3" xr3:uid="{41D858AE-5D2F-48EA-8366-1DF9A0576C22}" name="Standing" dataDxfId="79">
      <calculatedColumnFormula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calculatedColumnFormula>
    </tableColumn>
    <tableColumn id="4" xr3:uid="{1F890AA4-12EF-44FF-B83C-99814E093628}" name="Points" dataDxfId="78">
      <calculatedColumnFormula>OpenMxD[[#This Row],[Wins]]*3</calculatedColumnFormula>
    </tableColumn>
    <tableColumn id="5" xr3:uid="{2422A1DF-DAE7-4572-B4C4-A7C7C3551DE1}" name="Matches Played" dataDxfId="77">
      <calculatedColumnFormula>COUNTIF(Schedules[Team 1 Name], B87) + COUNTIF(Schedules[Team 2 Name], B87)</calculatedColumnFormula>
    </tableColumn>
    <tableColumn id="6" xr3:uid="{F386F787-3E5B-48A7-ACD7-92E7181C78FF}" name="Wins" dataDxfId="76">
      <calculatedColumnFormula>COUNTIFS(Schedules[Team 1 Name], B87, Schedules[Team 1 Outcome], "Win") + COUNTIFS(Schedules[Team 2 Name], B87, Schedules[Team 2 Outcome], "Win")</calculatedColumnFormula>
    </tableColumn>
    <tableColumn id="7" xr3:uid="{E450D9D3-15A7-479C-8422-C0E5B5002F03}" name="Win %" dataDxfId="75" dataCellStyle="Percent">
      <calculatedColumnFormula>IFERROR(OpenSingles[[#This Row],[Wins]]/OpenSingles[[#This Row],[Matches Played]],0%)</calculatedColumnFormula>
    </tableColumn>
    <tableColumn id="8" xr3:uid="{B4034F10-9F7E-41BB-A177-4AF8DD7CDF8A}" name="Total Score" dataDxfId="74">
      <calculatedColumnFormula>SUMIFS(Schedules[Team 1 Score],Schedules[Team 1 Name],B87)+SUMIFS(Schedules[Team 2 Score],Schedules[Team 2 Name],B87)</calculatedColumnFormula>
    </tableColumn>
    <tableColumn id="9" xr3:uid="{078FDA48-501D-48DE-AAFB-5A5D94523F5D}" name="Conceded Score" dataDxfId="73">
      <calculatedColumnFormula>SUMIFS(Schedules[Team 2 Score],Schedules[Team 1 Name],B87)+SUMIFS(Schedules[Team 1 Score],Schedules[Team 2 Name],B87)</calculatedColumnFormula>
    </tableColumn>
    <tableColumn id="10" xr3:uid="{BF560C27-67FA-4AD6-A568-7F44D96AC33F}" name="Concession ratio %" dataDxfId="72" dataCellStyle="Percent">
      <calculatedColumnFormula>IFERROR(OpenMxD[[#This Row],[Conceded Score]]/OpenMxD[[#This Row],[Total Score]],0%)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FA2554-A2A9-4314-9277-9CBDEB0F8691}" name="AdvancedMD" displayName="AdvancedMD" ref="A115:J139" totalsRowShown="0" headerRowDxfId="71" dataDxfId="69" headerRowBorderDxfId="70">
  <autoFilter ref="A115:J139" xr:uid="{34FA2554-A2A9-4314-9277-9CBDEB0F8691}"/>
  <tableColumns count="10">
    <tableColumn id="1" xr3:uid="{491D0873-F656-4333-8C28-D27F5DC119AE}" name="Category" dataDxfId="68">
      <calculatedColumnFormula>'Registrations'!A96</calculatedColumnFormula>
    </tableColumn>
    <tableColumn id="2" xr3:uid="{221B06AC-BAB5-4155-B76C-204DEF1A8187}" name="Teams" dataDxfId="67">
      <calculatedColumnFormula>'Registrations'!E96</calculatedColumnFormula>
    </tableColumn>
    <tableColumn id="3" xr3:uid="{B5AC56FE-60BB-440C-B2BC-824EAC2DF7A3}" name="Standing" dataDxfId="66">
      <calculatedColumnFormula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calculatedColumnFormula>
    </tableColumn>
    <tableColumn id="4" xr3:uid="{71529E98-40B1-42A7-8EC8-677774D688FC}" name="Points" dataDxfId="65">
      <calculatedColumnFormula>AdvancedMD[[#This Row],[Wins]]*3</calculatedColumnFormula>
    </tableColumn>
    <tableColumn id="5" xr3:uid="{22D2C806-89A3-4309-A321-42032C0B1CC1}" name="Matches Played" dataDxfId="64">
      <calculatedColumnFormula>COUNTIF(Schedules[Team 1 Name], B116) + COUNTIF(Schedules[Team 2 Name], B116)</calculatedColumnFormula>
    </tableColumn>
    <tableColumn id="6" xr3:uid="{FD7A7EC5-B53D-4182-9303-447B747E9D64}" name="Wins" dataDxfId="63">
      <calculatedColumnFormula>COUNTIFS(Schedules[Team 1 Name], B116, Schedules[Team 1 Outcome], "Win") + COUNTIFS(Schedules[Team 2 Name], B116, Schedules[Team 2 Outcome], "Win")</calculatedColumnFormula>
    </tableColumn>
    <tableColumn id="7" xr3:uid="{7A176A75-A469-4391-95D6-7A87810C736C}" name="Win %" dataDxfId="62" dataCellStyle="Percent">
      <calculatedColumnFormula>IFERROR(OpenSingles[[#This Row],[Wins]]/OpenSingles[[#This Row],[Matches Played]],0%)</calculatedColumnFormula>
    </tableColumn>
    <tableColumn id="8" xr3:uid="{89B9DF67-CD02-46DB-B8FB-82D181934864}" name="Total Score" dataDxfId="61">
      <calculatedColumnFormula>SUMIFS(Schedules[Team 1 Score],Schedules[Team 1 Name],B116)+SUMIFS(Schedules[Team 2 Score],Schedules[Team 2 Name],B116)</calculatedColumnFormula>
    </tableColumn>
    <tableColumn id="9" xr3:uid="{2383DD94-C0BC-4CEE-BCC1-4159E888644C}" name="Conceded Score" dataDxfId="60">
      <calculatedColumnFormula>SUMIFS(Schedules[Team 2 Score],Schedules[Team 1 Name],B116)+SUMIFS(Schedules[Team 1 Score],Schedules[Team 2 Name],B116)</calculatedColumnFormula>
    </tableColumn>
    <tableColumn id="10" xr3:uid="{77A0B2D6-26B9-46DD-97CE-A606A207C3DC}" name="Concession ratio %" dataDxfId="59" dataCellStyle="Percent">
      <calculatedColumnFormula>IFERROR(AdvancedMD[[#This Row],[Conceded Score]]/AdvancedMD[[#This Row],[Total Score]],0%)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89113A-79C2-45F5-AEAD-0B7BF8EA7540}" name="SPLITDOUBLES45" displayName="SPLITDOUBLES45" ref="A144:J168" totalsRowShown="0" headerRowDxfId="58" dataDxfId="56" headerRowBorderDxfId="57">
  <autoFilter ref="A144:J168" xr:uid="{FE89113A-79C2-45F5-AEAD-0B7BF8EA7540}"/>
  <tableColumns count="10">
    <tableColumn id="1" xr3:uid="{1F54615F-2357-4988-ADAB-2A8D8BEABE74}" name="Category" dataDxfId="55">
      <calculatedColumnFormula>'Registrations'!A120</calculatedColumnFormula>
    </tableColumn>
    <tableColumn id="2" xr3:uid="{75A2664B-1FB7-441D-8C1D-AC2A65D47033}" name="Teams" dataDxfId="54">
      <calculatedColumnFormula>'Registrations'!E120</calculatedColumnFormula>
    </tableColumn>
    <tableColumn id="3" xr3:uid="{D6D7A675-948C-4C00-AB3D-EAE6086BEABF}" name="Standing" dataDxfId="53">
      <calculatedColumnFormula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calculatedColumnFormula>
    </tableColumn>
    <tableColumn id="4" xr3:uid="{FDC06E91-6A87-4C12-B5D1-FE1885D44994}" name="Points" dataDxfId="52">
      <calculatedColumnFormula>SPLITDOUBLES45[[#This Row],[Wins]]*3</calculatedColumnFormula>
    </tableColumn>
    <tableColumn id="5" xr3:uid="{7BC30FF9-7E96-4819-88A1-4172EABC73BB}" name="Matches Played" dataDxfId="51">
      <calculatedColumnFormula>COUNTIF(Schedules[Team 1 Name], B145) + COUNTIF(Schedules[Team 2 Name], B145)</calculatedColumnFormula>
    </tableColumn>
    <tableColumn id="6" xr3:uid="{5CC9E902-684A-41ED-B326-3A92FFE3A082}" name="Wins" dataDxfId="50">
      <calculatedColumnFormula>COUNTIFS(Schedules[Team 1 Name], B145, Schedules[Team 1 Outcome], "Win") + COUNTIFS(Schedules[Team 2 Name], B145, Schedules[Team 2 Outcome], "Win")</calculatedColumnFormula>
    </tableColumn>
    <tableColumn id="7" xr3:uid="{7317B4B3-A215-452B-A91A-3ED1BF045098}" name="Win %" dataDxfId="49" dataCellStyle="Percent">
      <calculatedColumnFormula>IFERROR(OpenSingles[[#This Row],[Wins]]/OpenSingles[[#This Row],[Matches Played]],0%)</calculatedColumnFormula>
    </tableColumn>
    <tableColumn id="8" xr3:uid="{AD7A38BD-3B83-474A-A6CA-E83102EC0BEF}" name="Total Score" dataDxfId="48">
      <calculatedColumnFormula>SUMIFS(Schedules[Team 1 Score],Schedules[Team 1 Name],B145)+SUMIFS(Schedules[Team 2 Score],Schedules[Team 2 Name],B145)</calculatedColumnFormula>
    </tableColumn>
    <tableColumn id="9" xr3:uid="{5D22FFD0-1168-43B6-A197-B121981EB446}" name="Conceded Score" dataDxfId="47">
      <calculatedColumnFormula>SUMIFS(Schedules[Team 2 Score],Schedules[Team 1 Name],B145)+SUMIFS(Schedules[Team 1 Score],Schedules[Team 2 Name],B145)</calculatedColumnFormula>
    </tableColumn>
    <tableColumn id="10" xr3:uid="{292F29A4-BB6F-4EE6-950F-0FF4FAC13657}" name="Concession ratio %" dataDxfId="46" dataCellStyle="Percent">
      <calculatedColumnFormula>IFERROR(SPLITDOUBLES45[[#This Row],[Conceded Score]]/SPLITDOUBLES45[[#This Row],[Total Score]],0%)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CF6293-DA9D-462C-8521-E03DC976741E}" name="BEGMD" displayName="BEGMD" ref="A173:J205" totalsRowShown="0" headerRowDxfId="45" dataDxfId="43" headerRowBorderDxfId="44">
  <autoFilter ref="A173:J205" xr:uid="{E7CF6293-DA9D-462C-8521-E03DC976741E}"/>
  <tableColumns count="10">
    <tableColumn id="1" xr3:uid="{2C8A94B3-006C-4C16-B2FA-F54925611DA8}" name="Category" dataDxfId="42">
      <calculatedColumnFormula>'Registrations'!A144</calculatedColumnFormula>
    </tableColumn>
    <tableColumn id="2" xr3:uid="{61FC6C3B-467A-4D3C-8048-1F46E64C55D4}" name="Teams" dataDxfId="41">
      <calculatedColumnFormula>'Registrations'!E144</calculatedColumnFormula>
    </tableColumn>
    <tableColumn id="3" xr3:uid="{FA02308E-473E-4838-918E-10B939E4807F}" name="Standing" dataDxfId="40">
      <calculatedColumnFormula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calculatedColumnFormula>
    </tableColumn>
    <tableColumn id="4" xr3:uid="{DF7020AC-516C-47D8-B906-AEF4E2375782}" name="Points" dataDxfId="39">
      <calculatedColumnFormula>BEGMD[[#This Row],[Wins]]*3</calculatedColumnFormula>
    </tableColumn>
    <tableColumn id="5" xr3:uid="{EF4BE8F7-3337-427F-BDE1-8CFC600E34F1}" name="Matches Played" dataDxfId="38">
      <calculatedColumnFormula>COUNTIF(Schedules[Team 1 Name], B174) + COUNTIF(Schedules[Team 2 Name], B174)</calculatedColumnFormula>
    </tableColumn>
    <tableColumn id="6" xr3:uid="{6FE02A66-7FF2-485D-8C45-018BB8B90441}" name="Wins" dataDxfId="37">
      <calculatedColumnFormula>COUNTIFS(Schedules[Team 1 Name], B174, Schedules[Team 1 Outcome], "Win") + COUNTIFS(Schedules[Team 2 Name], B174, Schedules[Team 2 Outcome], "Win")</calculatedColumnFormula>
    </tableColumn>
    <tableColumn id="7" xr3:uid="{78693022-F403-4096-85A3-142C128EE18F}" name="Win %" dataDxfId="36" dataCellStyle="Percent">
      <calculatedColumnFormula>IFERROR(OpenSingles[[#This Row],[Wins]]/OpenSingles[[#This Row],[Matches Played]],0%)</calculatedColumnFormula>
    </tableColumn>
    <tableColumn id="8" xr3:uid="{624226B1-BBB9-4840-83B9-92BFD6C92F49}" name="Total Score" dataDxfId="35">
      <calculatedColumnFormula>SUMIFS(Schedules[Team 1 Score],Schedules[Team 1 Name],B174)+SUMIFS(Schedules[Team 2 Score],Schedules[Team 2 Name],B174)</calculatedColumnFormula>
    </tableColumn>
    <tableColumn id="9" xr3:uid="{4F4A2C3A-6A3F-4B6B-88C2-B071AD976484}" name="Conceded Score" dataDxfId="34">
      <calculatedColumnFormula>SUMIFS(Schedules[Team 2 Score],Schedules[Team 1 Name],B174)+SUMIFS(Schedules[Team 1 Score],Schedules[Team 2 Name],B174)</calculatedColumnFormula>
    </tableColumn>
    <tableColumn id="10" xr3:uid="{7421DEB2-1124-47CA-BEF9-5178B5F1C979}" name="Concession ratio %" dataDxfId="33" dataCellStyle="Percent">
      <calculatedColumnFormula>IFERROR(BEGMD[[#This Row],[Conceded Score]]/BEGMD[[#This Row],[Total Score]],0%)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4D0867-5128-40AA-A769-0680BC0CEC3E}" name="BEGMXD" displayName="BEGMXD" ref="A210:J234" totalsRowShown="0" headerRowDxfId="32" dataDxfId="30" headerRowBorderDxfId="31">
  <autoFilter ref="A210:J234" xr:uid="{274D0867-5128-40AA-A769-0680BC0CEC3E}"/>
  <tableColumns count="10">
    <tableColumn id="1" xr3:uid="{A934BE1E-39C2-4038-B194-C2518B63D0BA}" name="Category" dataDxfId="29">
      <calculatedColumnFormula>'Registrations'!A176</calculatedColumnFormula>
    </tableColumn>
    <tableColumn id="2" xr3:uid="{5C556742-F662-4B06-8F16-849DDD6B65B2}" name="Teams" dataDxfId="28">
      <calculatedColumnFormula>'Registrations'!E176</calculatedColumnFormula>
    </tableColumn>
    <tableColumn id="3" xr3:uid="{055F7FAF-0AC7-4BA3-9AC0-0A5F7F7561C7}" name="Standing" dataDxfId="27">
      <calculatedColumnFormula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calculatedColumnFormula>
    </tableColumn>
    <tableColumn id="4" xr3:uid="{E55DAF73-5A1F-4312-8114-4DCFF24BC767}" name="Points" dataDxfId="26">
      <calculatedColumnFormula>BEGMXD[[#This Row],[Wins]]*3</calculatedColumnFormula>
    </tableColumn>
    <tableColumn id="5" xr3:uid="{098642D2-0393-46DE-AB23-5BE4EEB366A9}" name="Matches Played" dataDxfId="25">
      <calculatedColumnFormula>COUNTIF(Schedules[Team 1 Name], B211) + COUNTIF(Schedules[Team 2 Name], B211)</calculatedColumnFormula>
    </tableColumn>
    <tableColumn id="6" xr3:uid="{9B236995-9B3E-440A-A640-DC41EC12A8A8}" name="Wins" dataDxfId="24">
      <calculatedColumnFormula>COUNTIFS(Schedules[Team 1 Name], B211, Schedules[Team 1 Outcome], "Win") + COUNTIFS(Schedules[Team 2 Name], B211, Schedules[Team 2 Outcome], "Win")</calculatedColumnFormula>
    </tableColumn>
    <tableColumn id="7" xr3:uid="{52BFC932-F173-4F1E-B79B-E5D883CCE511}" name="Win %" dataDxfId="23" dataCellStyle="Percent">
      <calculatedColumnFormula>IFERROR(OpenSingles[[#This Row],[Wins]]/OpenSingles[[#This Row],[Matches Played]],0%)</calculatedColumnFormula>
    </tableColumn>
    <tableColumn id="8" xr3:uid="{75D5C3A2-9D6B-4FFA-A31A-0DCE5A19647D}" name="Total Score" dataDxfId="22">
      <calculatedColumnFormula>SUMIFS(Schedules[Team 1 Score],Schedules[Team 1 Name],B211)+SUMIFS(Schedules[Team 2 Score],Schedules[Team 2 Name],B211)</calculatedColumnFormula>
    </tableColumn>
    <tableColumn id="9" xr3:uid="{AEF285B9-8843-454A-8D37-A06AF1874258}" name="Conceded Score" dataDxfId="21">
      <calculatedColumnFormula>SUMIFS(Schedules[Team 2 Score],Schedules[Team 1 Name],B211)+SUMIFS(Schedules[Team 1 Score],Schedules[Team 2 Name],B211)</calculatedColumnFormula>
    </tableColumn>
    <tableColumn id="10" xr3:uid="{9591EC48-3BFF-4F4A-94FD-9AF322557052}" name="Concession ratio %" dataDxfId="20" dataCellStyle="Percent">
      <calculatedColumnFormula>IFERROR(BEGMXD[[#This Row],[Conceded Score]]/BEGMXD[[#This Row],[Total Score]],0%)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559AD8-C2FD-47C3-9E22-7C396D9B4383}" name="OPENWD" displayName="OPENWD" ref="A239:J251" totalsRowShown="0" headerRowDxfId="19" dataDxfId="17" headerRowBorderDxfId="18">
  <autoFilter ref="A239:J251" xr:uid="{54559AD8-C2FD-47C3-9E22-7C396D9B4383}"/>
  <tableColumns count="10">
    <tableColumn id="1" xr3:uid="{B7E01913-7FFD-44BC-80C5-4DBFFAD647DF}" name="Category" dataDxfId="16">
      <calculatedColumnFormula>'Registrations'!A200</calculatedColumnFormula>
    </tableColumn>
    <tableColumn id="2" xr3:uid="{66556DA1-6975-4FF1-9473-5566A90AFD80}" name="Teams" dataDxfId="15">
      <calculatedColumnFormula>'Registrations'!E200</calculatedColumnFormula>
    </tableColumn>
    <tableColumn id="3" xr3:uid="{34545C38-D49B-4BAD-885F-D4BBD8132F3A}" name="Standing" dataDxfId="14">
      <calculatedColumnFormula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calculatedColumnFormula>
    </tableColumn>
    <tableColumn id="4" xr3:uid="{08D98FDD-1778-4752-9A1F-D6ECA93154A2}" name="Points" dataDxfId="13">
      <calculatedColumnFormula>OPENWD[[#This Row],[Wins]]*3</calculatedColumnFormula>
    </tableColumn>
    <tableColumn id="5" xr3:uid="{904A48C3-6F56-4A4A-81E0-6561A46521F7}" name="Matches Played" dataDxfId="12">
      <calculatedColumnFormula>COUNTIF(Schedules[Team 1 Name], B240) + COUNTIF(Schedules[Team 2 Name], B240)</calculatedColumnFormula>
    </tableColumn>
    <tableColumn id="6" xr3:uid="{8C11A3B0-F09B-4A2C-887A-64AA592CACE9}" name="Wins" dataDxfId="11">
      <calculatedColumnFormula>COUNTIFS(Schedules[Team 1 Name], B240, Schedules[Team 1 Outcome], "Win") + COUNTIFS(Schedules[Team 2 Name], B240, Schedules[Team 2 Outcome], "Win")</calculatedColumnFormula>
    </tableColumn>
    <tableColumn id="7" xr3:uid="{62D9D202-473A-4C06-9954-21962CD021C3}" name="Win %" dataDxfId="10" dataCellStyle="Percent">
      <calculatedColumnFormula>IFERROR(OpenSingles[[#This Row],[Wins]]/OpenSingles[[#This Row],[Matches Played]],0%)</calculatedColumnFormula>
    </tableColumn>
    <tableColumn id="8" xr3:uid="{EB875979-1F2C-4B1E-AA5A-22DCFE12C3B3}" name="Total Score" dataDxfId="9">
      <calculatedColumnFormula>SUMIFS(Schedules[Team 1 Score],Schedules[Team 1 Name],B240)+SUMIFS(Schedules[Team 2 Score],Schedules[Team 2 Name],B240)</calculatedColumnFormula>
    </tableColumn>
    <tableColumn id="9" xr3:uid="{881DDC4B-61A3-4FBA-A088-FB38D7E544FE}" name="Conceded Score" dataDxfId="8">
      <calculatedColumnFormula>SUMIFS(Schedules[Team 2 Score],Schedules[Team 1 Name],B240)+SUMIFS(Schedules[Team 1 Score],Schedules[Team 2 Name],B240)</calculatedColumnFormula>
    </tableColumn>
    <tableColumn id="10" xr3:uid="{17FB42D0-D5F9-4207-8EE8-E42E7142B51B}" name="Concession ratio %" dataDxfId="7" dataCellStyle="Percent">
      <calculatedColumnFormula>IFERROR(OPENWD[[#This Row],[Conceded Score]]/OPENWD[[#This Row],[Total Score]],0%)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70AE-AA3D-4941-9AF3-76E89AF36670}">
  <dimension ref="A2:R85"/>
  <sheetViews>
    <sheetView showGridLines="0" workbookViewId="0">
      <selection activeCell="F3" sqref="F3:F11"/>
    </sheetView>
  </sheetViews>
  <sheetFormatPr defaultRowHeight="12" x14ac:dyDescent="0.3"/>
  <cols>
    <col min="1" max="1" width="17.81640625" style="24" bestFit="1" customWidth="1"/>
    <col min="2" max="7" width="9.1796875" style="24" customWidth="1"/>
    <col min="8" max="16384" width="8.7265625" style="24"/>
  </cols>
  <sheetData>
    <row r="2" spans="1:18" ht="24" x14ac:dyDescent="0.3">
      <c r="A2" s="27" t="s">
        <v>10</v>
      </c>
      <c r="B2" s="28" t="s">
        <v>1</v>
      </c>
      <c r="C2" s="29" t="s">
        <v>76</v>
      </c>
      <c r="D2" s="28" t="s">
        <v>70</v>
      </c>
      <c r="E2" s="30" t="s">
        <v>78</v>
      </c>
      <c r="F2" s="30" t="s">
        <v>71</v>
      </c>
      <c r="G2" s="30" t="s">
        <v>77</v>
      </c>
      <c r="H2" s="31" t="s">
        <v>63</v>
      </c>
      <c r="I2" s="31" t="s">
        <v>64</v>
      </c>
      <c r="J2" s="31" t="s">
        <v>65</v>
      </c>
      <c r="K2" s="30" t="s">
        <v>30</v>
      </c>
      <c r="M2" s="24" t="s">
        <v>70</v>
      </c>
    </row>
    <row r="3" spans="1:18" ht="13" x14ac:dyDescent="0.3">
      <c r="A3" s="24" t="s">
        <v>66</v>
      </c>
      <c r="B3" s="26" t="s">
        <v>67</v>
      </c>
      <c r="C3" s="26">
        <v>3</v>
      </c>
      <c r="D3" s="26">
        <v>12</v>
      </c>
      <c r="E3" s="32">
        <v>13</v>
      </c>
      <c r="F3" s="32">
        <v>24</v>
      </c>
      <c r="G3" s="33">
        <f>(F3*E3)/60/C3</f>
        <v>1.7333333333333334</v>
      </c>
      <c r="H3" s="35" t="s">
        <v>80</v>
      </c>
      <c r="I3" s="32"/>
      <c r="J3" s="32"/>
      <c r="K3" s="24">
        <v>400</v>
      </c>
      <c r="M3" s="24" t="s">
        <v>79</v>
      </c>
      <c r="N3" s="32">
        <v>32</v>
      </c>
      <c r="O3" s="24">
        <v>28</v>
      </c>
      <c r="P3" s="24">
        <v>24</v>
      </c>
      <c r="Q3" s="24">
        <v>16</v>
      </c>
      <c r="R3" s="24">
        <v>12</v>
      </c>
    </row>
    <row r="4" spans="1:18" ht="13" x14ac:dyDescent="0.3">
      <c r="A4" s="24" t="s">
        <v>51</v>
      </c>
      <c r="B4" s="26" t="s">
        <v>67</v>
      </c>
      <c r="C4" s="26">
        <v>3</v>
      </c>
      <c r="D4" s="26">
        <v>24</v>
      </c>
      <c r="E4" s="32">
        <f>E3</f>
        <v>13</v>
      </c>
      <c r="F4" s="32">
        <v>48</v>
      </c>
      <c r="G4" s="33">
        <f>(F4*E4)/60/C4</f>
        <v>3.4666666666666668</v>
      </c>
      <c r="H4" s="35" t="s">
        <v>80</v>
      </c>
      <c r="I4" s="32"/>
      <c r="J4" s="32"/>
      <c r="K4" s="24">
        <f>K3</f>
        <v>400</v>
      </c>
      <c r="N4" s="24">
        <f>N3/4</f>
        <v>8</v>
      </c>
      <c r="O4" s="24">
        <f>O3/4</f>
        <v>7</v>
      </c>
      <c r="P4" s="24">
        <f>P3/4</f>
        <v>6</v>
      </c>
      <c r="Q4" s="24">
        <f>Q3/4</f>
        <v>4</v>
      </c>
      <c r="R4" s="24">
        <f>R3/4</f>
        <v>3</v>
      </c>
    </row>
    <row r="5" spans="1:18" ht="13" x14ac:dyDescent="0.3">
      <c r="A5" s="24" t="s">
        <v>52</v>
      </c>
      <c r="B5" s="26" t="s">
        <v>67</v>
      </c>
      <c r="C5" s="26">
        <v>3</v>
      </c>
      <c r="D5" s="26">
        <v>32</v>
      </c>
      <c r="E5" s="32">
        <f>E4</f>
        <v>13</v>
      </c>
      <c r="F5" s="32">
        <v>63</v>
      </c>
      <c r="G5" s="33">
        <f>(F5*E5)/60/C5</f>
        <v>4.55</v>
      </c>
      <c r="H5" s="35" t="s">
        <v>80</v>
      </c>
      <c r="I5" s="32"/>
      <c r="J5" s="32"/>
      <c r="K5" s="24">
        <f t="shared" ref="K5:K6" si="0">K4</f>
        <v>400</v>
      </c>
      <c r="N5" s="24">
        <f>N4*6</f>
        <v>48</v>
      </c>
      <c r="O5" s="24">
        <f>O4*6</f>
        <v>42</v>
      </c>
      <c r="P5" s="24">
        <f>P4*6</f>
        <v>36</v>
      </c>
      <c r="Q5" s="24">
        <f>Q4*6</f>
        <v>24</v>
      </c>
      <c r="R5" s="24">
        <f>R4*6</f>
        <v>18</v>
      </c>
    </row>
    <row r="6" spans="1:18" ht="13" x14ac:dyDescent="0.3">
      <c r="A6" s="24" t="s">
        <v>69</v>
      </c>
      <c r="B6" s="26" t="s">
        <v>67</v>
      </c>
      <c r="C6" s="26">
        <v>3</v>
      </c>
      <c r="D6" s="26">
        <v>24</v>
      </c>
      <c r="E6" s="32">
        <f>E5</f>
        <v>13</v>
      </c>
      <c r="F6" s="32">
        <v>48</v>
      </c>
      <c r="G6" s="33">
        <f>(F6*E6)/60/C6</f>
        <v>3.4666666666666668</v>
      </c>
      <c r="H6" s="35" t="s">
        <v>80</v>
      </c>
      <c r="I6" s="32"/>
      <c r="J6" s="32"/>
      <c r="K6" s="24">
        <f t="shared" si="0"/>
        <v>400</v>
      </c>
      <c r="N6" s="24">
        <v>8</v>
      </c>
      <c r="O6" s="24">
        <v>7</v>
      </c>
      <c r="P6" s="24">
        <v>6</v>
      </c>
      <c r="Q6" s="24">
        <v>4</v>
      </c>
      <c r="R6" s="24">
        <v>3</v>
      </c>
    </row>
    <row r="7" spans="1:18" ht="13" x14ac:dyDescent="0.3">
      <c r="A7" s="24" t="s">
        <v>72</v>
      </c>
      <c r="B7" s="26" t="s">
        <v>75</v>
      </c>
      <c r="C7" s="26">
        <v>2</v>
      </c>
      <c r="D7" s="26">
        <v>32</v>
      </c>
      <c r="E7" s="32">
        <f>E6</f>
        <v>13</v>
      </c>
      <c r="F7" s="32">
        <v>63</v>
      </c>
      <c r="G7" s="33">
        <f t="shared" ref="G7:G10" si="1">(F7*E7)/60/C7</f>
        <v>6.8250000000000002</v>
      </c>
      <c r="H7" s="32"/>
      <c r="I7" s="35" t="s">
        <v>80</v>
      </c>
      <c r="J7" s="32"/>
      <c r="K7" s="24">
        <v>600</v>
      </c>
      <c r="N7" s="24">
        <v>4</v>
      </c>
      <c r="O7" s="24">
        <v>4</v>
      </c>
      <c r="P7" s="24">
        <v>3</v>
      </c>
      <c r="Q7" s="24">
        <v>2</v>
      </c>
      <c r="R7" s="24">
        <v>2</v>
      </c>
    </row>
    <row r="8" spans="1:18" ht="13" x14ac:dyDescent="0.3">
      <c r="A8" s="24" t="s">
        <v>112</v>
      </c>
      <c r="B8" s="26" t="s">
        <v>75</v>
      </c>
      <c r="C8" s="26">
        <v>2</v>
      </c>
      <c r="D8" s="26">
        <v>12</v>
      </c>
      <c r="E8" s="32">
        <f>E7</f>
        <v>13</v>
      </c>
      <c r="F8" s="32">
        <v>24</v>
      </c>
      <c r="G8" s="33">
        <f t="shared" si="1"/>
        <v>2.6</v>
      </c>
      <c r="H8" s="32"/>
      <c r="I8" s="35" t="s">
        <v>80</v>
      </c>
      <c r="J8" s="32"/>
      <c r="K8" s="24">
        <v>600</v>
      </c>
      <c r="N8" s="24">
        <v>2</v>
      </c>
      <c r="O8" s="24">
        <v>2</v>
      </c>
      <c r="P8" s="24">
        <v>2</v>
      </c>
      <c r="Q8" s="24">
        <v>1</v>
      </c>
      <c r="R8" s="24">
        <v>1</v>
      </c>
    </row>
    <row r="9" spans="1:18" ht="13" x14ac:dyDescent="0.3">
      <c r="A9" s="24" t="s">
        <v>68</v>
      </c>
      <c r="B9" s="26" t="s">
        <v>75</v>
      </c>
      <c r="C9" s="26">
        <v>2</v>
      </c>
      <c r="D9" s="26">
        <v>24</v>
      </c>
      <c r="E9" s="32">
        <v>10</v>
      </c>
      <c r="F9" s="32">
        <v>48</v>
      </c>
      <c r="G9" s="33">
        <f t="shared" ref="G9" si="2">(F9*E9)/60/C9</f>
        <v>4</v>
      </c>
      <c r="H9" s="32"/>
      <c r="I9" s="35" t="s">
        <v>80</v>
      </c>
      <c r="J9" s="32"/>
      <c r="K9" s="24">
        <f>K7</f>
        <v>600</v>
      </c>
      <c r="N9" s="24">
        <v>1</v>
      </c>
      <c r="O9" s="24">
        <v>1</v>
      </c>
      <c r="P9" s="24">
        <v>1</v>
      </c>
    </row>
    <row r="10" spans="1:18" ht="13" x14ac:dyDescent="0.3">
      <c r="A10" s="24" t="s">
        <v>73</v>
      </c>
      <c r="B10" s="26" t="s">
        <v>75</v>
      </c>
      <c r="C10" s="26">
        <v>2</v>
      </c>
      <c r="D10" s="26">
        <v>24</v>
      </c>
      <c r="E10" s="32">
        <f>E7</f>
        <v>13</v>
      </c>
      <c r="F10" s="32">
        <f t="shared" ref="F10" si="3">D10*2</f>
        <v>48</v>
      </c>
      <c r="G10" s="33">
        <f t="shared" si="1"/>
        <v>5.2</v>
      </c>
      <c r="H10" s="32"/>
      <c r="I10" s="32"/>
      <c r="J10" s="35" t="s">
        <v>80</v>
      </c>
      <c r="K10" s="24">
        <f t="shared" ref="K10:K11" si="4">K9</f>
        <v>600</v>
      </c>
    </row>
    <row r="11" spans="1:18" ht="13" x14ac:dyDescent="0.3">
      <c r="A11" s="24" t="s">
        <v>74</v>
      </c>
      <c r="B11" s="26" t="s">
        <v>75</v>
      </c>
      <c r="C11" s="26">
        <v>2</v>
      </c>
      <c r="D11" s="26">
        <v>24</v>
      </c>
      <c r="E11" s="32">
        <v>16</v>
      </c>
      <c r="F11" s="32">
        <v>48</v>
      </c>
      <c r="G11" s="33">
        <f t="shared" ref="G11" si="5">(F11*E11)/60/C11</f>
        <v>6.4</v>
      </c>
      <c r="H11" s="32"/>
      <c r="I11" s="32"/>
      <c r="J11" s="35" t="s">
        <v>80</v>
      </c>
      <c r="K11" s="24">
        <f t="shared" si="4"/>
        <v>600</v>
      </c>
    </row>
    <row r="12" spans="1:18" x14ac:dyDescent="0.3">
      <c r="D12" s="26"/>
      <c r="E12" s="26"/>
      <c r="I12" s="42"/>
    </row>
    <row r="13" spans="1:18" x14ac:dyDescent="0.3">
      <c r="G13" s="34"/>
      <c r="I13" s="32"/>
      <c r="J13" s="32"/>
    </row>
    <row r="14" spans="1:18" ht="14.5" x14ac:dyDescent="0.35">
      <c r="A14" s="41" t="s">
        <v>82</v>
      </c>
      <c r="B14" s="40"/>
      <c r="C14" s="40"/>
      <c r="D14" s="40"/>
      <c r="E14" s="40"/>
      <c r="G14" s="34"/>
      <c r="I14" s="42"/>
      <c r="J14" s="42"/>
      <c r="K14" s="42"/>
    </row>
    <row r="15" spans="1:18" x14ac:dyDescent="0.3">
      <c r="C15" s="42"/>
      <c r="F15" s="34"/>
      <c r="I15" s="32"/>
      <c r="J15" s="32"/>
      <c r="K15" s="32"/>
      <c r="L15" s="39"/>
      <c r="N15" s="39"/>
    </row>
    <row r="16" spans="1:18" x14ac:dyDescent="0.3">
      <c r="A16" s="25" t="s">
        <v>22</v>
      </c>
      <c r="C16" s="54">
        <v>1600</v>
      </c>
      <c r="I16" s="32"/>
      <c r="J16" s="32"/>
      <c r="K16" s="52"/>
      <c r="L16" s="42"/>
      <c r="M16" s="42"/>
      <c r="N16" s="42"/>
      <c r="O16" s="42"/>
    </row>
    <row r="17" spans="1:16" x14ac:dyDescent="0.3">
      <c r="A17" s="24" t="s">
        <v>66</v>
      </c>
      <c r="B17" s="24">
        <f>D3</f>
        <v>12</v>
      </c>
      <c r="C17" s="38">
        <f>$B17*C$16</f>
        <v>19200</v>
      </c>
      <c r="I17" s="51"/>
      <c r="J17" s="51"/>
      <c r="K17" s="52"/>
      <c r="L17" s="38"/>
      <c r="M17" s="38"/>
      <c r="N17" s="38"/>
      <c r="O17" s="38"/>
    </row>
    <row r="18" spans="1:16" x14ac:dyDescent="0.3">
      <c r="A18" s="24" t="s">
        <v>51</v>
      </c>
      <c r="B18" s="24">
        <f>D4</f>
        <v>24</v>
      </c>
      <c r="C18" s="38">
        <f>$B18*C$16</f>
        <v>38400</v>
      </c>
      <c r="I18" s="32"/>
      <c r="J18" s="32"/>
      <c r="K18" s="32"/>
      <c r="L18" s="38"/>
      <c r="M18" s="38"/>
      <c r="N18" s="38"/>
      <c r="O18" s="38"/>
    </row>
    <row r="19" spans="1:16" x14ac:dyDescent="0.3">
      <c r="A19" s="24" t="s">
        <v>52</v>
      </c>
      <c r="B19" s="24">
        <f>D5</f>
        <v>32</v>
      </c>
      <c r="C19" s="38">
        <f>$B19*C$16</f>
        <v>51200</v>
      </c>
      <c r="J19" s="38"/>
      <c r="K19" s="38"/>
      <c r="L19" s="38"/>
      <c r="M19" s="38"/>
      <c r="N19" s="38"/>
      <c r="O19" s="38"/>
    </row>
    <row r="20" spans="1:16" x14ac:dyDescent="0.3">
      <c r="A20" s="24" t="s">
        <v>69</v>
      </c>
      <c r="B20" s="24">
        <f>D6</f>
        <v>24</v>
      </c>
      <c r="C20" s="38">
        <f>$B20*C$16</f>
        <v>38400</v>
      </c>
      <c r="J20" s="38"/>
      <c r="K20" s="38"/>
      <c r="L20" s="38"/>
      <c r="M20" s="38"/>
      <c r="N20" s="38"/>
      <c r="O20" s="38"/>
    </row>
    <row r="21" spans="1:16" x14ac:dyDescent="0.3">
      <c r="A21" s="25" t="s">
        <v>18</v>
      </c>
      <c r="B21" s="25"/>
      <c r="C21" s="39">
        <f>SUM(C17:C20)</f>
        <v>147200</v>
      </c>
      <c r="J21" s="38"/>
      <c r="K21" s="39"/>
      <c r="L21" s="39"/>
      <c r="M21" s="39"/>
      <c r="N21" s="39"/>
      <c r="O21" s="39"/>
      <c r="P21" s="53"/>
    </row>
    <row r="22" spans="1:16" x14ac:dyDescent="0.3">
      <c r="A22" s="25"/>
      <c r="B22" s="25"/>
      <c r="C22" s="39"/>
      <c r="D22" s="39"/>
    </row>
    <row r="23" spans="1:16" x14ac:dyDescent="0.3">
      <c r="A23" s="25" t="s">
        <v>29</v>
      </c>
      <c r="B23" s="25"/>
      <c r="C23" s="39"/>
      <c r="D23" s="39"/>
    </row>
    <row r="24" spans="1:16" x14ac:dyDescent="0.3">
      <c r="A24" s="24" t="s">
        <v>30</v>
      </c>
      <c r="B24" s="25"/>
      <c r="C24" s="38">
        <f>SUM(G3:G6)*C3*K3</f>
        <v>15860</v>
      </c>
      <c r="D24" s="38"/>
    </row>
    <row r="25" spans="1:16" x14ac:dyDescent="0.3">
      <c r="A25" s="24" t="s">
        <v>83</v>
      </c>
      <c r="B25" s="25"/>
      <c r="C25" s="38">
        <f>1500*3</f>
        <v>4500</v>
      </c>
      <c r="D25" s="38"/>
    </row>
    <row r="26" spans="1:16" x14ac:dyDescent="0.3">
      <c r="A26" s="24" t="s">
        <v>84</v>
      </c>
      <c r="B26" s="25"/>
      <c r="C26" s="38">
        <f>100*10</f>
        <v>1000</v>
      </c>
      <c r="D26" s="38"/>
    </row>
    <row r="27" spans="1:16" x14ac:dyDescent="0.3">
      <c r="A27" s="24" t="s">
        <v>85</v>
      </c>
      <c r="B27" s="25"/>
      <c r="C27" s="38">
        <f>SUM(B71:E71)</f>
        <v>12000</v>
      </c>
      <c r="D27" s="38"/>
    </row>
    <row r="28" spans="1:16" x14ac:dyDescent="0.3">
      <c r="A28" s="24" t="s">
        <v>87</v>
      </c>
      <c r="B28" s="25"/>
      <c r="C28" s="38">
        <f>50*100</f>
        <v>5000</v>
      </c>
      <c r="D28" s="38"/>
      <c r="N28" s="42"/>
      <c r="O28" s="42"/>
    </row>
    <row r="29" spans="1:16" x14ac:dyDescent="0.3">
      <c r="A29" s="24" t="s">
        <v>89</v>
      </c>
      <c r="B29" s="25"/>
      <c r="C29" s="38">
        <v>18000</v>
      </c>
      <c r="D29" s="38"/>
    </row>
    <row r="30" spans="1:16" x14ac:dyDescent="0.3">
      <c r="A30" s="24" t="s">
        <v>107</v>
      </c>
      <c r="B30" s="25"/>
      <c r="C30" s="48">
        <v>15000</v>
      </c>
      <c r="D30" s="38"/>
    </row>
    <row r="31" spans="1:16" x14ac:dyDescent="0.3">
      <c r="A31" s="25" t="s">
        <v>88</v>
      </c>
      <c r="B31" s="25"/>
      <c r="C31" s="39">
        <f>SUM(C24:C30)</f>
        <v>71360</v>
      </c>
      <c r="D31" s="38"/>
    </row>
    <row r="32" spans="1:16" x14ac:dyDescent="0.3">
      <c r="B32" s="25"/>
      <c r="C32" s="38"/>
      <c r="D32" s="38"/>
    </row>
    <row r="33" spans="1:7" x14ac:dyDescent="0.3">
      <c r="A33" s="25" t="s">
        <v>90</v>
      </c>
      <c r="B33" s="25"/>
      <c r="C33" s="39">
        <f>C21-C31</f>
        <v>75840</v>
      </c>
      <c r="D33" s="39"/>
    </row>
    <row r="34" spans="1:7" x14ac:dyDescent="0.3">
      <c r="B34" s="25"/>
      <c r="C34" s="38"/>
      <c r="D34" s="38"/>
      <c r="E34" s="38"/>
    </row>
    <row r="35" spans="1:7" ht="14.5" x14ac:dyDescent="0.35">
      <c r="A35" s="41" t="s">
        <v>91</v>
      </c>
      <c r="B35" s="40"/>
      <c r="C35" s="40"/>
      <c r="D35" s="40"/>
      <c r="E35" s="40"/>
      <c r="G35" s="34"/>
    </row>
    <row r="36" spans="1:7" x14ac:dyDescent="0.3">
      <c r="A36" s="25" t="s">
        <v>22</v>
      </c>
      <c r="C36" s="42" t="s">
        <v>101</v>
      </c>
    </row>
    <row r="37" spans="1:7" x14ac:dyDescent="0.3">
      <c r="A37" s="25" t="s">
        <v>106</v>
      </c>
      <c r="C37" s="58">
        <v>2200</v>
      </c>
      <c r="D37" s="46"/>
      <c r="E37" s="38"/>
    </row>
    <row r="38" spans="1:7" x14ac:dyDescent="0.3">
      <c r="A38" s="25" t="s">
        <v>92</v>
      </c>
      <c r="B38" s="25"/>
      <c r="C38" s="39">
        <v>2000</v>
      </c>
      <c r="D38" s="39"/>
      <c r="F38" s="43"/>
    </row>
    <row r="39" spans="1:7" x14ac:dyDescent="0.3">
      <c r="A39" s="25" t="s">
        <v>93</v>
      </c>
      <c r="B39" s="25"/>
      <c r="C39" s="39">
        <v>1000</v>
      </c>
      <c r="D39" s="39"/>
      <c r="F39" s="43"/>
    </row>
    <row r="40" spans="1:7" x14ac:dyDescent="0.3">
      <c r="A40" s="24" t="s">
        <v>72</v>
      </c>
      <c r="B40" s="24">
        <f>D7</f>
        <v>32</v>
      </c>
      <c r="C40" s="38">
        <f>C$38*$B40</f>
        <v>64000</v>
      </c>
      <c r="D40" s="38"/>
    </row>
    <row r="41" spans="1:7" x14ac:dyDescent="0.3">
      <c r="A41" s="24" t="s">
        <v>112</v>
      </c>
      <c r="B41" s="24">
        <v>12</v>
      </c>
      <c r="C41" s="38">
        <f>C$38*$B41</f>
        <v>24000</v>
      </c>
      <c r="D41" s="38"/>
    </row>
    <row r="42" spans="1:7" x14ac:dyDescent="0.3">
      <c r="A42" s="24" t="s">
        <v>68</v>
      </c>
      <c r="B42" s="24">
        <f>D9</f>
        <v>24</v>
      </c>
      <c r="C42" s="38">
        <f>C$39*$B42</f>
        <v>24000</v>
      </c>
      <c r="D42" s="38"/>
    </row>
    <row r="43" spans="1:7" x14ac:dyDescent="0.3">
      <c r="A43" s="24" t="s">
        <v>73</v>
      </c>
      <c r="B43" s="24">
        <f>D10</f>
        <v>24</v>
      </c>
      <c r="C43" s="38">
        <f>C$38*$B43</f>
        <v>48000</v>
      </c>
      <c r="D43" s="38"/>
    </row>
    <row r="44" spans="1:7" x14ac:dyDescent="0.3">
      <c r="A44" s="24" t="s">
        <v>74</v>
      </c>
      <c r="B44" s="24">
        <f>D11</f>
        <v>24</v>
      </c>
      <c r="C44" s="38">
        <f>C$38*$B44</f>
        <v>48000</v>
      </c>
      <c r="D44" s="38"/>
    </row>
    <row r="45" spans="1:7" x14ac:dyDescent="0.3">
      <c r="A45" s="55" t="s">
        <v>111</v>
      </c>
      <c r="B45" s="55"/>
      <c r="C45" s="56">
        <v>30000</v>
      </c>
      <c r="D45" s="38"/>
    </row>
    <row r="46" spans="1:7" x14ac:dyDescent="0.3">
      <c r="A46" s="25" t="s">
        <v>86</v>
      </c>
      <c r="B46" s="25"/>
      <c r="C46" s="39">
        <f>SUM(C40:C45)</f>
        <v>238000</v>
      </c>
      <c r="D46" s="39"/>
    </row>
    <row r="47" spans="1:7" x14ac:dyDescent="0.3">
      <c r="A47" s="25"/>
      <c r="B47" s="25"/>
      <c r="C47" s="38"/>
      <c r="D47" s="38"/>
    </row>
    <row r="48" spans="1:7" x14ac:dyDescent="0.3">
      <c r="A48" s="25" t="s">
        <v>29</v>
      </c>
      <c r="B48" s="25"/>
      <c r="C48" s="38"/>
      <c r="D48" s="38"/>
    </row>
    <row r="49" spans="1:5" x14ac:dyDescent="0.3">
      <c r="A49" s="24" t="s">
        <v>30</v>
      </c>
      <c r="C49" s="37">
        <f>SUM(G7:G11)*C7*K7</f>
        <v>30030</v>
      </c>
      <c r="D49" s="38"/>
    </row>
    <row r="50" spans="1:5" x14ac:dyDescent="0.3">
      <c r="A50" s="24" t="s">
        <v>83</v>
      </c>
      <c r="C50" s="37">
        <f>1500*2*2</f>
        <v>6000</v>
      </c>
      <c r="D50" s="38"/>
    </row>
    <row r="51" spans="1:5" x14ac:dyDescent="0.3">
      <c r="A51" s="24" t="s">
        <v>94</v>
      </c>
      <c r="C51" s="37">
        <f>155*15</f>
        <v>2325</v>
      </c>
      <c r="D51" s="38"/>
    </row>
    <row r="52" spans="1:5" x14ac:dyDescent="0.3">
      <c r="A52" s="24" t="s">
        <v>85</v>
      </c>
      <c r="C52" s="38">
        <f>SUM(F71:I71)</f>
        <v>85000</v>
      </c>
      <c r="D52" s="38"/>
    </row>
    <row r="53" spans="1:5" x14ac:dyDescent="0.3">
      <c r="A53" s="24" t="s">
        <v>87</v>
      </c>
      <c r="C53" s="38">
        <f>C28</f>
        <v>5000</v>
      </c>
      <c r="D53" s="38"/>
    </row>
    <row r="54" spans="1:5" x14ac:dyDescent="0.3">
      <c r="A54" s="24" t="s">
        <v>95</v>
      </c>
      <c r="C54" s="37">
        <v>15000</v>
      </c>
      <c r="D54" s="37"/>
    </row>
    <row r="55" spans="1:5" x14ac:dyDescent="0.3">
      <c r="A55" s="24" t="s">
        <v>96</v>
      </c>
      <c r="C55" s="47">
        <v>40000</v>
      </c>
      <c r="D55" s="39"/>
    </row>
    <row r="56" spans="1:5" x14ac:dyDescent="0.3">
      <c r="A56" s="24" t="s">
        <v>107</v>
      </c>
      <c r="C56" s="47">
        <v>15000</v>
      </c>
      <c r="D56" s="39"/>
    </row>
    <row r="57" spans="1:5" x14ac:dyDescent="0.3">
      <c r="A57" s="25" t="s">
        <v>88</v>
      </c>
      <c r="C57" s="39">
        <f>SUM(C49:C56)</f>
        <v>198355</v>
      </c>
      <c r="D57" s="39"/>
    </row>
    <row r="59" spans="1:5" x14ac:dyDescent="0.3">
      <c r="A59" s="25" t="s">
        <v>90</v>
      </c>
      <c r="C59" s="39">
        <f>C46-C57</f>
        <v>39645</v>
      </c>
      <c r="D59" s="39"/>
    </row>
    <row r="61" spans="1:5" x14ac:dyDescent="0.3">
      <c r="A61" s="25" t="s">
        <v>97</v>
      </c>
      <c r="C61" s="42"/>
      <c r="D61" s="42"/>
    </row>
    <row r="62" spans="1:5" x14ac:dyDescent="0.3">
      <c r="A62" s="24" t="s">
        <v>81</v>
      </c>
      <c r="C62" s="38">
        <f>C46+C21</f>
        <v>385200</v>
      </c>
      <c r="D62" s="38"/>
      <c r="E62" s="38"/>
    </row>
    <row r="63" spans="1:5" x14ac:dyDescent="0.3">
      <c r="A63" s="24" t="s">
        <v>98</v>
      </c>
      <c r="C63" s="38">
        <f>C57+C31</f>
        <v>269715</v>
      </c>
      <c r="D63" s="38"/>
      <c r="E63" s="38"/>
    </row>
    <row r="64" spans="1:5" x14ac:dyDescent="0.3">
      <c r="A64" s="25" t="s">
        <v>99</v>
      </c>
      <c r="B64" s="25"/>
      <c r="C64" s="39">
        <f>C62-C63</f>
        <v>115485</v>
      </c>
      <c r="D64" s="39"/>
      <c r="E64" s="39"/>
    </row>
    <row r="67" spans="1:10" ht="14.5" x14ac:dyDescent="0.35">
      <c r="A67" s="41" t="s">
        <v>100</v>
      </c>
      <c r="B67" s="40"/>
      <c r="C67" s="40"/>
      <c r="D67" s="40"/>
      <c r="E67" s="40"/>
    </row>
    <row r="68" spans="1:10" ht="48" x14ac:dyDescent="0.3">
      <c r="B68" s="57" t="s">
        <v>66</v>
      </c>
      <c r="C68" s="57" t="s">
        <v>51</v>
      </c>
      <c r="D68" s="57" t="s">
        <v>52</v>
      </c>
      <c r="E68" s="57" t="s">
        <v>69</v>
      </c>
      <c r="F68" s="57" t="s">
        <v>72</v>
      </c>
      <c r="G68" s="57" t="s">
        <v>68</v>
      </c>
      <c r="H68" s="57" t="s">
        <v>73</v>
      </c>
      <c r="I68" s="57" t="s">
        <v>74</v>
      </c>
      <c r="J68" s="57" t="s">
        <v>112</v>
      </c>
    </row>
    <row r="69" spans="1:10" x14ac:dyDescent="0.3">
      <c r="A69" s="24" t="s">
        <v>102</v>
      </c>
      <c r="B69" s="37">
        <f t="shared" ref="B69:C69" si="6">C69</f>
        <v>2000</v>
      </c>
      <c r="C69" s="37">
        <f t="shared" si="6"/>
        <v>2000</v>
      </c>
      <c r="D69" s="37">
        <f>E69</f>
        <v>2000</v>
      </c>
      <c r="E69" s="37">
        <v>2000</v>
      </c>
      <c r="F69" s="37">
        <v>15000</v>
      </c>
      <c r="G69" s="37">
        <f>G71*0.7</f>
        <v>7000</v>
      </c>
      <c r="H69" s="37">
        <v>15000</v>
      </c>
      <c r="I69" s="60">
        <v>22000</v>
      </c>
    </row>
    <row r="70" spans="1:10" x14ac:dyDescent="0.3">
      <c r="A70" s="24" t="s">
        <v>103</v>
      </c>
      <c r="B70" s="37">
        <f t="shared" ref="B70:D70" si="7">C70</f>
        <v>1000</v>
      </c>
      <c r="C70" s="37">
        <f t="shared" si="7"/>
        <v>1000</v>
      </c>
      <c r="D70" s="37">
        <f t="shared" si="7"/>
        <v>1000</v>
      </c>
      <c r="E70" s="37">
        <f>E69/2</f>
        <v>1000</v>
      </c>
      <c r="F70" s="37">
        <f t="shared" ref="F70:H70" si="8">F71-F69</f>
        <v>6000</v>
      </c>
      <c r="G70" s="37">
        <f t="shared" si="8"/>
        <v>3000</v>
      </c>
      <c r="H70" s="37">
        <f t="shared" si="8"/>
        <v>6000</v>
      </c>
      <c r="I70" s="60">
        <v>11000</v>
      </c>
    </row>
    <row r="71" spans="1:10" x14ac:dyDescent="0.3">
      <c r="A71" s="25" t="s">
        <v>104</v>
      </c>
      <c r="B71" s="36">
        <f t="shared" ref="B71:C71" si="9">C71</f>
        <v>3000</v>
      </c>
      <c r="C71" s="36">
        <f t="shared" si="9"/>
        <v>3000</v>
      </c>
      <c r="D71" s="36">
        <f>E71</f>
        <v>3000</v>
      </c>
      <c r="E71" s="36">
        <v>3000</v>
      </c>
      <c r="F71" s="59">
        <v>21000</v>
      </c>
      <c r="G71" s="36">
        <v>10000</v>
      </c>
      <c r="H71" s="59">
        <v>21000</v>
      </c>
      <c r="I71" s="36">
        <f>SUM(I69:I70)</f>
        <v>33000</v>
      </c>
    </row>
    <row r="73" spans="1:10" x14ac:dyDescent="0.3">
      <c r="A73" s="24" t="s">
        <v>17</v>
      </c>
      <c r="B73" s="38">
        <f>C16</f>
        <v>1600</v>
      </c>
      <c r="C73" s="38">
        <f>B73</f>
        <v>1600</v>
      </c>
      <c r="D73" s="38">
        <f t="shared" ref="D73:E73" si="10">C73</f>
        <v>1600</v>
      </c>
      <c r="E73" s="38">
        <f t="shared" si="10"/>
        <v>1600</v>
      </c>
      <c r="F73" s="38">
        <f>C38</f>
        <v>2000</v>
      </c>
      <c r="G73" s="38">
        <f>C39</f>
        <v>1000</v>
      </c>
      <c r="H73" s="38">
        <f>C38</f>
        <v>2000</v>
      </c>
      <c r="I73" s="38">
        <f>C37</f>
        <v>2200</v>
      </c>
    </row>
    <row r="75" spans="1:10" x14ac:dyDescent="0.3">
      <c r="A75" s="24" t="s">
        <v>105</v>
      </c>
    </row>
    <row r="76" spans="1:10" x14ac:dyDescent="0.3">
      <c r="A76" s="24" t="s">
        <v>102</v>
      </c>
      <c r="B76" s="44">
        <f t="shared" ref="B76:H76" si="11">B69/B$73</f>
        <v>1.25</v>
      </c>
      <c r="C76" s="44">
        <f t="shared" si="11"/>
        <v>1.25</v>
      </c>
      <c r="D76" s="44">
        <f t="shared" si="11"/>
        <v>1.25</v>
      </c>
      <c r="E76" s="44">
        <f t="shared" si="11"/>
        <v>1.25</v>
      </c>
      <c r="F76" s="44">
        <f t="shared" si="11"/>
        <v>7.5</v>
      </c>
      <c r="G76" s="44">
        <f t="shared" si="11"/>
        <v>7</v>
      </c>
      <c r="H76" s="44">
        <f t="shared" si="11"/>
        <v>7.5</v>
      </c>
      <c r="I76" s="44">
        <f>I69/I$73</f>
        <v>10</v>
      </c>
    </row>
    <row r="77" spans="1:10" x14ac:dyDescent="0.3">
      <c r="A77" s="24" t="s">
        <v>103</v>
      </c>
      <c r="B77" s="44">
        <f t="shared" ref="B77:H77" si="12">B70/B$73</f>
        <v>0.625</v>
      </c>
      <c r="C77" s="44">
        <f t="shared" si="12"/>
        <v>0.625</v>
      </c>
      <c r="D77" s="44">
        <f t="shared" si="12"/>
        <v>0.625</v>
      </c>
      <c r="E77" s="44">
        <f t="shared" si="12"/>
        <v>0.625</v>
      </c>
      <c r="F77" s="44">
        <f t="shared" si="12"/>
        <v>3</v>
      </c>
      <c r="G77" s="44">
        <f t="shared" si="12"/>
        <v>3</v>
      </c>
      <c r="H77" s="44">
        <f t="shared" si="12"/>
        <v>3</v>
      </c>
      <c r="I77" s="44">
        <f>I70/I$73</f>
        <v>5</v>
      </c>
    </row>
    <row r="80" spans="1:10" ht="14.5" x14ac:dyDescent="0.35">
      <c r="A80" s="41" t="s">
        <v>108</v>
      </c>
      <c r="B80" s="40"/>
      <c r="C80" s="40"/>
      <c r="D80" s="40"/>
      <c r="E80" s="40"/>
    </row>
    <row r="81" spans="1:9" ht="36" x14ac:dyDescent="0.3">
      <c r="B81" s="45" t="s">
        <v>66</v>
      </c>
      <c r="C81" s="45" t="s">
        <v>51</v>
      </c>
      <c r="D81" s="45" t="s">
        <v>52</v>
      </c>
      <c r="E81" s="45" t="s">
        <v>69</v>
      </c>
      <c r="F81" s="45" t="s">
        <v>72</v>
      </c>
      <c r="G81" s="45" t="s">
        <v>68</v>
      </c>
      <c r="H81" s="45" t="s">
        <v>73</v>
      </c>
      <c r="I81" s="45" t="s">
        <v>74</v>
      </c>
    </row>
    <row r="82" spans="1:9" x14ac:dyDescent="0.3">
      <c r="A82" s="24" t="s">
        <v>81</v>
      </c>
      <c r="B82" s="38">
        <f>C17</f>
        <v>19200</v>
      </c>
      <c r="C82" s="38">
        <f>C18</f>
        <v>38400</v>
      </c>
      <c r="D82" s="38">
        <f>C19</f>
        <v>51200</v>
      </c>
      <c r="E82" s="38">
        <f>C20</f>
        <v>38400</v>
      </c>
      <c r="F82" s="38">
        <f>C40</f>
        <v>64000</v>
      </c>
      <c r="G82" s="38">
        <f>C42</f>
        <v>24000</v>
      </c>
      <c r="H82" s="38">
        <f>C43</f>
        <v>48000</v>
      </c>
      <c r="I82" s="38">
        <f>C44</f>
        <v>48000</v>
      </c>
    </row>
    <row r="83" spans="1:9" x14ac:dyDescent="0.3">
      <c r="A83" s="24" t="s">
        <v>109</v>
      </c>
      <c r="B83" s="37">
        <f>G3*3*K3</f>
        <v>2080</v>
      </c>
      <c r="C83" s="37">
        <f>G4*3*K3</f>
        <v>4160</v>
      </c>
      <c r="D83" s="37">
        <f>G5*3*K3</f>
        <v>5459.9999999999991</v>
      </c>
      <c r="E83" s="37">
        <f>G6*3*K3</f>
        <v>4160</v>
      </c>
      <c r="F83" s="37">
        <f>G7*2*K7</f>
        <v>8190</v>
      </c>
      <c r="G83" s="37">
        <f>G9*2*K7</f>
        <v>4800</v>
      </c>
      <c r="H83" s="37">
        <f>G10*2*K7</f>
        <v>6240</v>
      </c>
      <c r="I83" s="37">
        <f>G11*2*K7</f>
        <v>7680</v>
      </c>
    </row>
    <row r="84" spans="1:9" x14ac:dyDescent="0.3">
      <c r="A84" s="25" t="s">
        <v>110</v>
      </c>
      <c r="B84" s="39">
        <f>B82-B83</f>
        <v>17120</v>
      </c>
      <c r="C84" s="39">
        <f t="shared" ref="C84:E84" si="13">C82-C83</f>
        <v>34240</v>
      </c>
      <c r="D84" s="39">
        <f t="shared" si="13"/>
        <v>45740</v>
      </c>
      <c r="E84" s="39">
        <f t="shared" si="13"/>
        <v>34240</v>
      </c>
      <c r="F84" s="39">
        <f t="shared" ref="F84" si="14">F82-F83</f>
        <v>55810</v>
      </c>
      <c r="G84" s="39">
        <f t="shared" ref="G84" si="15">G82-G83</f>
        <v>19200</v>
      </c>
      <c r="H84" s="39">
        <f t="shared" ref="H84" si="16">H82-H83</f>
        <v>41760</v>
      </c>
      <c r="I84" s="39">
        <f t="shared" ref="I84" si="17">I82-I83</f>
        <v>40320</v>
      </c>
    </row>
    <row r="85" spans="1:9" x14ac:dyDescent="0.3">
      <c r="A85" s="49" t="s">
        <v>108</v>
      </c>
      <c r="B85" s="50">
        <f t="shared" ref="B85:E85" si="18">B84/B82</f>
        <v>0.89166666666666672</v>
      </c>
      <c r="C85" s="50">
        <f t="shared" si="18"/>
        <v>0.89166666666666672</v>
      </c>
      <c r="D85" s="50">
        <f t="shared" si="18"/>
        <v>0.89335937499999996</v>
      </c>
      <c r="E85" s="50">
        <f t="shared" si="18"/>
        <v>0.89166666666666672</v>
      </c>
      <c r="F85" s="50">
        <f>F84/F82</f>
        <v>0.87203125000000004</v>
      </c>
      <c r="G85" s="50">
        <f t="shared" ref="G85:I85" si="19">G84/G82</f>
        <v>0.8</v>
      </c>
      <c r="H85" s="50">
        <f t="shared" si="19"/>
        <v>0.87</v>
      </c>
      <c r="I85" s="50">
        <f t="shared" si="19"/>
        <v>0.84</v>
      </c>
    </row>
  </sheetData>
  <conditionalFormatting sqref="A33:D33 A59 C59:D59">
    <cfRule type="cellIs" dxfId="6" priority="3" operator="greaterThan">
      <formula>0</formula>
    </cfRule>
  </conditionalFormatting>
  <conditionalFormatting sqref="C5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9396-9804-4FED-9605-2F0BD02A2B51}">
  <dimension ref="A1:H238"/>
  <sheetViews>
    <sheetView showGridLines="0" tabSelected="1" workbookViewId="0">
      <pane ySplit="3" topLeftCell="A4" activePane="bottomLeft" state="frozen"/>
      <selection activeCell="E197" sqref="E197:E200"/>
      <selection pane="bottomLeft" activeCell="C177" sqref="C177"/>
    </sheetView>
  </sheetViews>
  <sheetFormatPr defaultRowHeight="14.5" x14ac:dyDescent="0.35"/>
  <cols>
    <col min="1" max="1" width="28" customWidth="1"/>
    <col min="2" max="2" width="14" customWidth="1"/>
    <col min="3" max="4" width="22" customWidth="1"/>
    <col min="5" max="5" width="28" customWidth="1"/>
    <col min="6" max="6" width="24" customWidth="1"/>
  </cols>
  <sheetData>
    <row r="1" spans="1:8" x14ac:dyDescent="0.35">
      <c r="A1" s="117" t="s">
        <v>421</v>
      </c>
      <c r="B1" s="118"/>
      <c r="C1" s="118"/>
      <c r="D1" s="118"/>
      <c r="E1" s="118"/>
      <c r="F1" s="118"/>
    </row>
    <row r="3" spans="1:8" x14ac:dyDescent="0.35">
      <c r="A3" s="100" t="s">
        <v>10</v>
      </c>
      <c r="B3" s="100" t="s">
        <v>420</v>
      </c>
      <c r="C3" s="99" t="s">
        <v>472</v>
      </c>
      <c r="D3" s="99" t="s">
        <v>473</v>
      </c>
      <c r="E3" s="99" t="s">
        <v>481</v>
      </c>
      <c r="F3" s="99" t="s">
        <v>471</v>
      </c>
      <c r="G3" s="131" t="s">
        <v>502</v>
      </c>
      <c r="H3" s="131" t="s">
        <v>503</v>
      </c>
    </row>
    <row r="4" spans="1:8" hidden="1" x14ac:dyDescent="0.35">
      <c r="A4" s="67" t="s">
        <v>49</v>
      </c>
      <c r="B4" s="67" t="s">
        <v>419</v>
      </c>
      <c r="C4" s="101" t="s">
        <v>469</v>
      </c>
      <c r="D4" s="101"/>
      <c r="E4" s="101" t="str">
        <f>IF(Registrations[[#This Row],[Player 2]]="",Registrations[[#This Row],[Player 1]],Registrations[[#This Row],[Player 1]]&amp;" / "&amp;Registrations[[#This Row],[Player 2]])</f>
        <v>Sanjay Gatti</v>
      </c>
      <c r="F4" s="101">
        <v>606469989512</v>
      </c>
      <c r="G4" s="101"/>
      <c r="H4" s="101"/>
    </row>
    <row r="5" spans="1:8" hidden="1" x14ac:dyDescent="0.35">
      <c r="A5" s="67" t="s">
        <v>49</v>
      </c>
      <c r="B5" s="67" t="s">
        <v>418</v>
      </c>
      <c r="C5" s="101"/>
      <c r="D5" s="101"/>
      <c r="E5" s="101">
        <f>IF(Registrations[[#This Row],[Player 2]]="",Registrations[[#This Row],[Player 1]],Registrations[[#This Row],[Player 1]]&amp;" / "&amp;Registrations[[#This Row],[Player 2]])</f>
        <v>0</v>
      </c>
      <c r="F5" s="101"/>
      <c r="G5" s="101"/>
      <c r="H5" s="101"/>
    </row>
    <row r="6" spans="1:8" hidden="1" x14ac:dyDescent="0.35">
      <c r="A6" s="67" t="s">
        <v>49</v>
      </c>
      <c r="B6" s="67" t="s">
        <v>417</v>
      </c>
      <c r="C6" s="101"/>
      <c r="D6" s="101"/>
      <c r="E6" s="101">
        <f>IF(Registrations[[#This Row],[Player 2]]="",Registrations[[#This Row],[Player 1]],Registrations[[#This Row],[Player 1]]&amp;" / "&amp;Registrations[[#This Row],[Player 2]])</f>
        <v>0</v>
      </c>
      <c r="F6" s="101"/>
      <c r="G6" s="101"/>
      <c r="H6" s="101"/>
    </row>
    <row r="7" spans="1:8" hidden="1" x14ac:dyDescent="0.35">
      <c r="A7" s="67" t="s">
        <v>49</v>
      </c>
      <c r="B7" s="67" t="s">
        <v>416</v>
      </c>
      <c r="C7" s="101"/>
      <c r="D7" s="101"/>
      <c r="E7" s="101">
        <f>IF(Registrations[[#This Row],[Player 2]]="",Registrations[[#This Row],[Player 1]],Registrations[[#This Row],[Player 1]]&amp;" / "&amp;Registrations[[#This Row],[Player 2]])</f>
        <v>0</v>
      </c>
      <c r="F7" s="101"/>
      <c r="G7" s="101"/>
      <c r="H7" s="101"/>
    </row>
    <row r="8" spans="1:8" hidden="1" x14ac:dyDescent="0.35">
      <c r="A8" s="67" t="s">
        <v>49</v>
      </c>
      <c r="B8" s="67" t="s">
        <v>415</v>
      </c>
      <c r="C8" s="101"/>
      <c r="D8" s="101"/>
      <c r="E8" s="101">
        <f>IF(Registrations[[#This Row],[Player 2]]="",Registrations[[#This Row],[Player 1]],Registrations[[#This Row],[Player 1]]&amp;" / "&amp;Registrations[[#This Row],[Player 2]])</f>
        <v>0</v>
      </c>
      <c r="F8" s="101"/>
      <c r="G8" s="101"/>
      <c r="H8" s="101"/>
    </row>
    <row r="9" spans="1:8" hidden="1" x14ac:dyDescent="0.35">
      <c r="A9" s="67" t="s">
        <v>49</v>
      </c>
      <c r="B9" s="67" t="s">
        <v>414</v>
      </c>
      <c r="C9" s="101"/>
      <c r="D9" s="101"/>
      <c r="E9" s="101">
        <f>IF(Registrations[[#This Row],[Player 2]]="",Registrations[[#This Row],[Player 1]],Registrations[[#This Row],[Player 1]]&amp;" / "&amp;Registrations[[#This Row],[Player 2]])</f>
        <v>0</v>
      </c>
      <c r="F9" s="101"/>
      <c r="G9" s="101"/>
      <c r="H9" s="101"/>
    </row>
    <row r="10" spans="1:8" hidden="1" x14ac:dyDescent="0.35">
      <c r="A10" s="67" t="s">
        <v>49</v>
      </c>
      <c r="B10" s="67" t="s">
        <v>413</v>
      </c>
      <c r="C10" s="101"/>
      <c r="D10" s="101"/>
      <c r="E10" s="101">
        <f>IF(Registrations[[#This Row],[Player 2]]="",Registrations[[#This Row],[Player 1]],Registrations[[#This Row],[Player 1]]&amp;" / "&amp;Registrations[[#This Row],[Player 2]])</f>
        <v>0</v>
      </c>
      <c r="F10" s="101"/>
      <c r="G10" s="101"/>
      <c r="H10" s="101"/>
    </row>
    <row r="11" spans="1:8" hidden="1" x14ac:dyDescent="0.35">
      <c r="A11" s="67" t="s">
        <v>49</v>
      </c>
      <c r="B11" s="67" t="s">
        <v>412</v>
      </c>
      <c r="C11" s="101"/>
      <c r="D11" s="101"/>
      <c r="E11" s="101">
        <f>IF(Registrations[[#This Row],[Player 2]]="",Registrations[[#This Row],[Player 1]],Registrations[[#This Row],[Player 1]]&amp;" / "&amp;Registrations[[#This Row],[Player 2]])</f>
        <v>0</v>
      </c>
      <c r="F11" s="101"/>
      <c r="G11" s="101"/>
      <c r="H11" s="101"/>
    </row>
    <row r="12" spans="1:8" hidden="1" x14ac:dyDescent="0.35">
      <c r="A12" s="67" t="s">
        <v>49</v>
      </c>
      <c r="B12" s="67" t="s">
        <v>411</v>
      </c>
      <c r="C12" s="101"/>
      <c r="D12" s="101"/>
      <c r="E12" s="101">
        <f>IF(Registrations[[#This Row],[Player 2]]="",Registrations[[#This Row],[Player 1]],Registrations[[#This Row],[Player 1]]&amp;" / "&amp;Registrations[[#This Row],[Player 2]])</f>
        <v>0</v>
      </c>
      <c r="F12" s="101"/>
      <c r="G12" s="101"/>
      <c r="H12" s="101"/>
    </row>
    <row r="13" spans="1:8" hidden="1" x14ac:dyDescent="0.35">
      <c r="A13" s="67" t="s">
        <v>49</v>
      </c>
      <c r="B13" s="67" t="s">
        <v>410</v>
      </c>
      <c r="C13" s="101"/>
      <c r="D13" s="101"/>
      <c r="E13" s="101">
        <f>IF(Registrations[[#This Row],[Player 2]]="",Registrations[[#This Row],[Player 1]],Registrations[[#This Row],[Player 1]]&amp;" / "&amp;Registrations[[#This Row],[Player 2]])</f>
        <v>0</v>
      </c>
      <c r="F13" s="101"/>
      <c r="G13" s="101"/>
      <c r="H13" s="101"/>
    </row>
    <row r="14" spans="1:8" hidden="1" x14ac:dyDescent="0.35">
      <c r="A14" s="67" t="s">
        <v>49</v>
      </c>
      <c r="B14" s="67" t="s">
        <v>409</v>
      </c>
      <c r="C14" s="101"/>
      <c r="D14" s="101"/>
      <c r="E14" s="101">
        <f>IF(Registrations[[#This Row],[Player 2]]="",Registrations[[#This Row],[Player 1]],Registrations[[#This Row],[Player 1]]&amp;" / "&amp;Registrations[[#This Row],[Player 2]])</f>
        <v>0</v>
      </c>
      <c r="F14" s="101"/>
      <c r="G14" s="101"/>
      <c r="H14" s="101"/>
    </row>
    <row r="15" spans="1:8" hidden="1" x14ac:dyDescent="0.35">
      <c r="A15" s="67" t="s">
        <v>49</v>
      </c>
      <c r="B15" s="67" t="s">
        <v>408</v>
      </c>
      <c r="C15" s="101"/>
      <c r="D15" s="101"/>
      <c r="E15" s="101">
        <f>IF(Registrations[[#This Row],[Player 2]]="",Registrations[[#This Row],[Player 1]],Registrations[[#This Row],[Player 1]]&amp;" / "&amp;Registrations[[#This Row],[Player 2]])</f>
        <v>0</v>
      </c>
      <c r="F15" s="101"/>
      <c r="G15" s="101"/>
      <c r="H15" s="101"/>
    </row>
    <row r="16" spans="1:8" hidden="1" x14ac:dyDescent="0.35">
      <c r="A16" s="67" t="s">
        <v>49</v>
      </c>
      <c r="B16" s="67" t="s">
        <v>407</v>
      </c>
      <c r="C16" s="101"/>
      <c r="D16" s="101"/>
      <c r="E16" s="101">
        <f>IF(Registrations[[#This Row],[Player 2]]="",Registrations[[#This Row],[Player 1]],Registrations[[#This Row],[Player 1]]&amp;" / "&amp;Registrations[[#This Row],[Player 2]])</f>
        <v>0</v>
      </c>
      <c r="F16" s="101"/>
      <c r="G16" s="101"/>
      <c r="H16" s="101"/>
    </row>
    <row r="17" spans="1:8" hidden="1" x14ac:dyDescent="0.35">
      <c r="A17" s="67" t="s">
        <v>49</v>
      </c>
      <c r="B17" s="67" t="s">
        <v>406</v>
      </c>
      <c r="C17" s="101"/>
      <c r="D17" s="101"/>
      <c r="E17" s="101">
        <f>IF(Registrations[[#This Row],[Player 2]]="",Registrations[[#This Row],[Player 1]],Registrations[[#This Row],[Player 1]]&amp;" / "&amp;Registrations[[#This Row],[Player 2]])</f>
        <v>0</v>
      </c>
      <c r="F17" s="101"/>
      <c r="G17" s="101"/>
      <c r="H17" s="101"/>
    </row>
    <row r="18" spans="1:8" hidden="1" x14ac:dyDescent="0.35">
      <c r="A18" s="67" t="s">
        <v>49</v>
      </c>
      <c r="B18" s="67" t="s">
        <v>405</v>
      </c>
      <c r="C18" s="101"/>
      <c r="D18" s="101"/>
      <c r="E18" s="101">
        <f>IF(Registrations[[#This Row],[Player 2]]="",Registrations[[#This Row],[Player 1]],Registrations[[#This Row],[Player 1]]&amp;" / "&amp;Registrations[[#This Row],[Player 2]])</f>
        <v>0</v>
      </c>
      <c r="F18" s="101"/>
      <c r="G18" s="101"/>
      <c r="H18" s="101"/>
    </row>
    <row r="19" spans="1:8" hidden="1" x14ac:dyDescent="0.35">
      <c r="A19" s="67" t="s">
        <v>49</v>
      </c>
      <c r="B19" s="67" t="s">
        <v>404</v>
      </c>
      <c r="C19" s="101"/>
      <c r="D19" s="101"/>
      <c r="E19" s="101">
        <f>IF(Registrations[[#This Row],[Player 2]]="",Registrations[[#This Row],[Player 1]],Registrations[[#This Row],[Player 1]]&amp;" / "&amp;Registrations[[#This Row],[Player 2]])</f>
        <v>0</v>
      </c>
      <c r="F19" s="101"/>
      <c r="G19" s="101"/>
      <c r="H19" s="101"/>
    </row>
    <row r="20" spans="1:8" hidden="1" x14ac:dyDescent="0.35">
      <c r="A20" s="67" t="s">
        <v>49</v>
      </c>
      <c r="B20" s="67" t="s">
        <v>403</v>
      </c>
      <c r="C20" s="101"/>
      <c r="D20" s="101"/>
      <c r="E20" s="101">
        <f>IF(Registrations[[#This Row],[Player 2]]="",Registrations[[#This Row],[Player 1]],Registrations[[#This Row],[Player 1]]&amp;" / "&amp;Registrations[[#This Row],[Player 2]])</f>
        <v>0</v>
      </c>
      <c r="F20" s="101"/>
      <c r="G20" s="101"/>
      <c r="H20" s="101"/>
    </row>
    <row r="21" spans="1:8" hidden="1" x14ac:dyDescent="0.35">
      <c r="A21" s="67" t="s">
        <v>49</v>
      </c>
      <c r="B21" s="67" t="s">
        <v>402</v>
      </c>
      <c r="C21" s="101"/>
      <c r="D21" s="101"/>
      <c r="E21" s="101">
        <f>IF(Registrations[[#This Row],[Player 2]]="",Registrations[[#This Row],[Player 1]],Registrations[[#This Row],[Player 1]]&amp;" / "&amp;Registrations[[#This Row],[Player 2]])</f>
        <v>0</v>
      </c>
      <c r="F21" s="101"/>
      <c r="G21" s="101"/>
      <c r="H21" s="101"/>
    </row>
    <row r="22" spans="1:8" hidden="1" x14ac:dyDescent="0.35">
      <c r="A22" s="67" t="s">
        <v>49</v>
      </c>
      <c r="B22" s="67" t="s">
        <v>401</v>
      </c>
      <c r="C22" s="101"/>
      <c r="D22" s="101"/>
      <c r="E22" s="101">
        <f>IF(Registrations[[#This Row],[Player 2]]="",Registrations[[#This Row],[Player 1]],Registrations[[#This Row],[Player 1]]&amp;" / "&amp;Registrations[[#This Row],[Player 2]])</f>
        <v>0</v>
      </c>
      <c r="F22" s="101"/>
      <c r="G22" s="101"/>
      <c r="H22" s="101"/>
    </row>
    <row r="23" spans="1:8" hidden="1" x14ac:dyDescent="0.35">
      <c r="A23" s="67" t="s">
        <v>49</v>
      </c>
      <c r="B23" s="67" t="s">
        <v>400</v>
      </c>
      <c r="C23" s="101"/>
      <c r="D23" s="101"/>
      <c r="E23" s="101">
        <f>IF(Registrations[[#This Row],[Player 2]]="",Registrations[[#This Row],[Player 1]],Registrations[[#This Row],[Player 1]]&amp;" / "&amp;Registrations[[#This Row],[Player 2]])</f>
        <v>0</v>
      </c>
      <c r="F23" s="101"/>
      <c r="G23" s="101"/>
      <c r="H23" s="101"/>
    </row>
    <row r="24" spans="1:8" hidden="1" x14ac:dyDescent="0.35">
      <c r="A24" s="67" t="s">
        <v>49</v>
      </c>
      <c r="B24" s="67" t="s">
        <v>399</v>
      </c>
      <c r="C24" s="101"/>
      <c r="D24" s="101"/>
      <c r="E24" s="101">
        <f>IF(Registrations[[#This Row],[Player 2]]="",Registrations[[#This Row],[Player 1]],Registrations[[#This Row],[Player 1]]&amp;" / "&amp;Registrations[[#This Row],[Player 2]])</f>
        <v>0</v>
      </c>
      <c r="F24" s="101"/>
      <c r="G24" s="101"/>
      <c r="H24" s="101"/>
    </row>
    <row r="25" spans="1:8" hidden="1" x14ac:dyDescent="0.35">
      <c r="A25" s="67" t="s">
        <v>49</v>
      </c>
      <c r="B25" s="67" t="s">
        <v>398</v>
      </c>
      <c r="C25" s="101"/>
      <c r="D25" s="101"/>
      <c r="E25" s="101">
        <f>IF(Registrations[[#This Row],[Player 2]]="",Registrations[[#This Row],[Player 1]],Registrations[[#This Row],[Player 1]]&amp;" / "&amp;Registrations[[#This Row],[Player 2]])</f>
        <v>0</v>
      </c>
      <c r="F25" s="101"/>
      <c r="G25" s="101"/>
      <c r="H25" s="101"/>
    </row>
    <row r="26" spans="1:8" hidden="1" x14ac:dyDescent="0.35">
      <c r="A26" s="67" t="s">
        <v>49</v>
      </c>
      <c r="B26" s="67" t="s">
        <v>397</v>
      </c>
      <c r="C26" s="101"/>
      <c r="D26" s="101"/>
      <c r="E26" s="101">
        <f>IF(Registrations[[#This Row],[Player 2]]="",Registrations[[#This Row],[Player 1]],Registrations[[#This Row],[Player 1]]&amp;" / "&amp;Registrations[[#This Row],[Player 2]])</f>
        <v>0</v>
      </c>
      <c r="F26" s="101"/>
      <c r="G26" s="101"/>
      <c r="H26" s="101"/>
    </row>
    <row r="27" spans="1:8" hidden="1" x14ac:dyDescent="0.35">
      <c r="A27" s="67" t="s">
        <v>49</v>
      </c>
      <c r="B27" s="67" t="s">
        <v>396</v>
      </c>
      <c r="C27" s="101"/>
      <c r="D27" s="101"/>
      <c r="E27" s="101">
        <f>IF(Registrations[[#This Row],[Player 2]]="",Registrations[[#This Row],[Player 1]],Registrations[[#This Row],[Player 1]]&amp;" / "&amp;Registrations[[#This Row],[Player 2]])</f>
        <v>0</v>
      </c>
      <c r="F27" s="101"/>
      <c r="G27" s="101"/>
      <c r="H27" s="101"/>
    </row>
    <row r="28" spans="1:8" hidden="1" x14ac:dyDescent="0.35">
      <c r="A28" s="67" t="s">
        <v>112</v>
      </c>
      <c r="B28" s="67" t="s">
        <v>395</v>
      </c>
      <c r="C28" s="101"/>
      <c r="D28" s="101"/>
      <c r="E28" s="101">
        <f>IF(Registrations[[#This Row],[Player 2]]="",Registrations[[#This Row],[Player 1]],Registrations[[#This Row],[Player 1]]&amp;" / "&amp;Registrations[[#This Row],[Player 2]])</f>
        <v>0</v>
      </c>
      <c r="F28" s="101"/>
      <c r="G28" s="101"/>
      <c r="H28" s="101"/>
    </row>
    <row r="29" spans="1:8" hidden="1" x14ac:dyDescent="0.35">
      <c r="A29" s="67" t="s">
        <v>112</v>
      </c>
      <c r="B29" s="67" t="s">
        <v>394</v>
      </c>
      <c r="C29" s="101"/>
      <c r="D29" s="101"/>
      <c r="E29" s="101">
        <f>IF(Registrations[[#This Row],[Player 2]]="",Registrations[[#This Row],[Player 1]],Registrations[[#This Row],[Player 1]]&amp;" / "&amp;Registrations[[#This Row],[Player 2]])</f>
        <v>0</v>
      </c>
      <c r="F29" s="101"/>
      <c r="G29" s="101"/>
      <c r="H29" s="101"/>
    </row>
    <row r="30" spans="1:8" hidden="1" x14ac:dyDescent="0.35">
      <c r="A30" s="67" t="s">
        <v>112</v>
      </c>
      <c r="B30" s="67" t="s">
        <v>393</v>
      </c>
      <c r="C30" s="101"/>
      <c r="D30" s="101"/>
      <c r="E30" s="101">
        <f>IF(Registrations[[#This Row],[Player 2]]="",Registrations[[#This Row],[Player 1]],Registrations[[#This Row],[Player 1]]&amp;" / "&amp;Registrations[[#This Row],[Player 2]])</f>
        <v>0</v>
      </c>
      <c r="F30" s="101"/>
      <c r="G30" s="101"/>
      <c r="H30" s="101"/>
    </row>
    <row r="31" spans="1:8" hidden="1" x14ac:dyDescent="0.35">
      <c r="A31" s="67" t="s">
        <v>112</v>
      </c>
      <c r="B31" s="67" t="s">
        <v>392</v>
      </c>
      <c r="C31" s="101"/>
      <c r="D31" s="101"/>
      <c r="E31" s="101">
        <f>IF(Registrations[[#This Row],[Player 2]]="",Registrations[[#This Row],[Player 1]],Registrations[[#This Row],[Player 1]]&amp;" / "&amp;Registrations[[#This Row],[Player 2]])</f>
        <v>0</v>
      </c>
      <c r="F31" s="101"/>
      <c r="G31" s="101"/>
      <c r="H31" s="101"/>
    </row>
    <row r="32" spans="1:8" hidden="1" x14ac:dyDescent="0.35">
      <c r="A32" s="67" t="s">
        <v>112</v>
      </c>
      <c r="B32" s="67" t="s">
        <v>391</v>
      </c>
      <c r="C32" s="101"/>
      <c r="D32" s="101"/>
      <c r="E32" s="101">
        <f>IF(Registrations[[#This Row],[Player 2]]="",Registrations[[#This Row],[Player 1]],Registrations[[#This Row],[Player 1]]&amp;" / "&amp;Registrations[[#This Row],[Player 2]])</f>
        <v>0</v>
      </c>
      <c r="F32" s="101"/>
      <c r="G32" s="101"/>
      <c r="H32" s="101"/>
    </row>
    <row r="33" spans="1:8" hidden="1" x14ac:dyDescent="0.35">
      <c r="A33" s="67" t="s">
        <v>112</v>
      </c>
      <c r="B33" s="67" t="s">
        <v>390</v>
      </c>
      <c r="C33" s="101"/>
      <c r="D33" s="101"/>
      <c r="E33" s="101">
        <f>IF(Registrations[[#This Row],[Player 2]]="",Registrations[[#This Row],[Player 1]],Registrations[[#This Row],[Player 1]]&amp;" / "&amp;Registrations[[#This Row],[Player 2]])</f>
        <v>0</v>
      </c>
      <c r="F33" s="101"/>
      <c r="G33" s="101"/>
      <c r="H33" s="101"/>
    </row>
    <row r="34" spans="1:8" hidden="1" x14ac:dyDescent="0.35">
      <c r="A34" s="67" t="s">
        <v>112</v>
      </c>
      <c r="B34" s="67" t="s">
        <v>389</v>
      </c>
      <c r="C34" s="101"/>
      <c r="D34" s="101"/>
      <c r="E34" s="101">
        <f>IF(Registrations[[#This Row],[Player 2]]="",Registrations[[#This Row],[Player 1]],Registrations[[#This Row],[Player 1]]&amp;" / "&amp;Registrations[[#This Row],[Player 2]])</f>
        <v>0</v>
      </c>
      <c r="F34" s="101"/>
      <c r="G34" s="101"/>
      <c r="H34" s="101"/>
    </row>
    <row r="35" spans="1:8" hidden="1" x14ac:dyDescent="0.35">
      <c r="A35" s="67" t="s">
        <v>112</v>
      </c>
      <c r="B35" s="67" t="s">
        <v>388</v>
      </c>
      <c r="C35" s="101"/>
      <c r="D35" s="101"/>
      <c r="E35" s="101">
        <f>IF(Registrations[[#This Row],[Player 2]]="",Registrations[[#This Row],[Player 1]],Registrations[[#This Row],[Player 1]]&amp;" / "&amp;Registrations[[#This Row],[Player 2]])</f>
        <v>0</v>
      </c>
      <c r="F35" s="101"/>
      <c r="G35" s="101"/>
      <c r="H35" s="101"/>
    </row>
    <row r="36" spans="1:8" hidden="1" x14ac:dyDescent="0.35">
      <c r="A36" s="67" t="s">
        <v>112</v>
      </c>
      <c r="B36" s="67" t="s">
        <v>387</v>
      </c>
      <c r="C36" s="101"/>
      <c r="D36" s="101"/>
      <c r="E36" s="101">
        <f>IF(Registrations[[#This Row],[Player 2]]="",Registrations[[#This Row],[Player 1]],Registrations[[#This Row],[Player 1]]&amp;" / "&amp;Registrations[[#This Row],[Player 2]])</f>
        <v>0</v>
      </c>
      <c r="F36" s="101"/>
      <c r="G36" s="101"/>
      <c r="H36" s="101"/>
    </row>
    <row r="37" spans="1:8" hidden="1" x14ac:dyDescent="0.35">
      <c r="A37" s="67" t="s">
        <v>112</v>
      </c>
      <c r="B37" s="67" t="s">
        <v>386</v>
      </c>
      <c r="C37" s="101"/>
      <c r="D37" s="101"/>
      <c r="E37" s="101">
        <f>IF(Registrations[[#This Row],[Player 2]]="",Registrations[[#This Row],[Player 1]],Registrations[[#This Row],[Player 1]]&amp;" / "&amp;Registrations[[#This Row],[Player 2]])</f>
        <v>0</v>
      </c>
      <c r="F37" s="101"/>
      <c r="G37" s="101"/>
      <c r="H37" s="101"/>
    </row>
    <row r="38" spans="1:8" hidden="1" x14ac:dyDescent="0.35">
      <c r="A38" s="67" t="s">
        <v>112</v>
      </c>
      <c r="B38" s="67" t="s">
        <v>385</v>
      </c>
      <c r="C38" s="101"/>
      <c r="D38" s="101"/>
      <c r="E38" s="101">
        <f>IF(Registrations[[#This Row],[Player 2]]="",Registrations[[#This Row],[Player 1]],Registrations[[#This Row],[Player 1]]&amp;" / "&amp;Registrations[[#This Row],[Player 2]])</f>
        <v>0</v>
      </c>
      <c r="F38" s="101"/>
      <c r="G38" s="101"/>
      <c r="H38" s="101"/>
    </row>
    <row r="39" spans="1:8" hidden="1" x14ac:dyDescent="0.35">
      <c r="A39" s="67" t="s">
        <v>112</v>
      </c>
      <c r="B39" s="67" t="s">
        <v>384</v>
      </c>
      <c r="C39" s="101"/>
      <c r="D39" s="101"/>
      <c r="E39" s="101">
        <f>IF(Registrations[[#This Row],[Player 2]]="",Registrations[[#This Row],[Player 1]],Registrations[[#This Row],[Player 1]]&amp;" / "&amp;Registrations[[#This Row],[Player 2]])</f>
        <v>0</v>
      </c>
      <c r="F39" s="101"/>
      <c r="G39" s="101"/>
      <c r="H39" s="101"/>
    </row>
    <row r="40" spans="1:8" hidden="1" x14ac:dyDescent="0.35">
      <c r="A40" s="67" t="s">
        <v>54</v>
      </c>
      <c r="B40" s="67" t="s">
        <v>383</v>
      </c>
      <c r="C40" s="101"/>
      <c r="D40" s="101"/>
      <c r="E40" s="101">
        <f>IF(Registrations[[#This Row],[Player 2]]="",Registrations[[#This Row],[Player 1]],Registrations[[#This Row],[Player 1]]&amp;" / "&amp;Registrations[[#This Row],[Player 2]])</f>
        <v>0</v>
      </c>
      <c r="F40" s="101"/>
      <c r="G40" s="101"/>
      <c r="H40" s="101"/>
    </row>
    <row r="41" spans="1:8" hidden="1" x14ac:dyDescent="0.35">
      <c r="A41" s="67" t="s">
        <v>54</v>
      </c>
      <c r="B41" s="67" t="s">
        <v>382</v>
      </c>
      <c r="C41" s="101"/>
      <c r="D41" s="101"/>
      <c r="E41" s="101">
        <f>IF(Registrations[[#This Row],[Player 2]]="",Registrations[[#This Row],[Player 1]],Registrations[[#This Row],[Player 1]]&amp;" / "&amp;Registrations[[#This Row],[Player 2]])</f>
        <v>0</v>
      </c>
      <c r="F41" s="101"/>
      <c r="G41" s="101"/>
      <c r="H41" s="101"/>
    </row>
    <row r="42" spans="1:8" hidden="1" x14ac:dyDescent="0.35">
      <c r="A42" s="67" t="s">
        <v>54</v>
      </c>
      <c r="B42" s="67" t="s">
        <v>381</v>
      </c>
      <c r="C42" s="101"/>
      <c r="D42" s="101"/>
      <c r="E42" s="101">
        <f>IF(Registrations[[#This Row],[Player 2]]="",Registrations[[#This Row],[Player 1]],Registrations[[#This Row],[Player 1]]&amp;" / "&amp;Registrations[[#This Row],[Player 2]])</f>
        <v>0</v>
      </c>
      <c r="F42" s="101"/>
      <c r="G42" s="101"/>
      <c r="H42" s="101"/>
    </row>
    <row r="43" spans="1:8" hidden="1" x14ac:dyDescent="0.35">
      <c r="A43" s="67" t="s">
        <v>54</v>
      </c>
      <c r="B43" s="67" t="s">
        <v>380</v>
      </c>
      <c r="C43" s="101"/>
      <c r="D43" s="101"/>
      <c r="E43" s="101">
        <f>IF(Registrations[[#This Row],[Player 2]]="",Registrations[[#This Row],[Player 1]],Registrations[[#This Row],[Player 1]]&amp;" / "&amp;Registrations[[#This Row],[Player 2]])</f>
        <v>0</v>
      </c>
      <c r="F43" s="101"/>
      <c r="G43" s="101"/>
      <c r="H43" s="101"/>
    </row>
    <row r="44" spans="1:8" hidden="1" x14ac:dyDescent="0.35">
      <c r="A44" s="67" t="s">
        <v>54</v>
      </c>
      <c r="B44" s="67" t="s">
        <v>379</v>
      </c>
      <c r="C44" s="101"/>
      <c r="D44" s="101"/>
      <c r="E44" s="101">
        <f>IF(Registrations[[#This Row],[Player 2]]="",Registrations[[#This Row],[Player 1]],Registrations[[#This Row],[Player 1]]&amp;" / "&amp;Registrations[[#This Row],[Player 2]])</f>
        <v>0</v>
      </c>
      <c r="F44" s="101"/>
      <c r="G44" s="101"/>
      <c r="H44" s="101"/>
    </row>
    <row r="45" spans="1:8" hidden="1" x14ac:dyDescent="0.35">
      <c r="A45" s="67" t="s">
        <v>54</v>
      </c>
      <c r="B45" s="67" t="s">
        <v>378</v>
      </c>
      <c r="C45" s="101"/>
      <c r="D45" s="101"/>
      <c r="E45" s="101">
        <f>IF(Registrations[[#This Row],[Player 2]]="",Registrations[[#This Row],[Player 1]],Registrations[[#This Row],[Player 1]]&amp;" / "&amp;Registrations[[#This Row],[Player 2]])</f>
        <v>0</v>
      </c>
      <c r="F45" s="101"/>
      <c r="G45" s="101"/>
      <c r="H45" s="101"/>
    </row>
    <row r="46" spans="1:8" hidden="1" x14ac:dyDescent="0.35">
      <c r="A46" s="67" t="s">
        <v>54</v>
      </c>
      <c r="B46" s="67" t="s">
        <v>377</v>
      </c>
      <c r="C46" s="101"/>
      <c r="D46" s="101"/>
      <c r="E46" s="101">
        <f>IF(Registrations[[#This Row],[Player 2]]="",Registrations[[#This Row],[Player 1]],Registrations[[#This Row],[Player 1]]&amp;" / "&amp;Registrations[[#This Row],[Player 2]])</f>
        <v>0</v>
      </c>
      <c r="F46" s="101"/>
      <c r="G46" s="101"/>
      <c r="H46" s="101"/>
    </row>
    <row r="47" spans="1:8" hidden="1" x14ac:dyDescent="0.35">
      <c r="A47" s="67" t="s">
        <v>54</v>
      </c>
      <c r="B47" s="67" t="s">
        <v>376</v>
      </c>
      <c r="C47" s="101"/>
      <c r="D47" s="101"/>
      <c r="E47" s="101">
        <f>IF(Registrations[[#This Row],[Player 2]]="",Registrations[[#This Row],[Player 1]],Registrations[[#This Row],[Player 1]]&amp;" / "&amp;Registrations[[#This Row],[Player 2]])</f>
        <v>0</v>
      </c>
      <c r="F47" s="101"/>
      <c r="G47" s="101"/>
      <c r="H47" s="101"/>
    </row>
    <row r="48" spans="1:8" hidden="1" x14ac:dyDescent="0.35">
      <c r="A48" s="67" t="s">
        <v>54</v>
      </c>
      <c r="B48" s="67" t="s">
        <v>375</v>
      </c>
      <c r="C48" s="101"/>
      <c r="D48" s="101"/>
      <c r="E48" s="101">
        <f>IF(Registrations[[#This Row],[Player 2]]="",Registrations[[#This Row],[Player 1]],Registrations[[#This Row],[Player 1]]&amp;" / "&amp;Registrations[[#This Row],[Player 2]])</f>
        <v>0</v>
      </c>
      <c r="F48" s="101"/>
      <c r="G48" s="101"/>
      <c r="H48" s="101"/>
    </row>
    <row r="49" spans="1:8" hidden="1" x14ac:dyDescent="0.35">
      <c r="A49" s="67" t="s">
        <v>54</v>
      </c>
      <c r="B49" s="67" t="s">
        <v>374</v>
      </c>
      <c r="C49" s="101"/>
      <c r="D49" s="101"/>
      <c r="E49" s="101">
        <f>IF(Registrations[[#This Row],[Player 2]]="",Registrations[[#This Row],[Player 1]],Registrations[[#This Row],[Player 1]]&amp;" / "&amp;Registrations[[#This Row],[Player 2]])</f>
        <v>0</v>
      </c>
      <c r="F49" s="101"/>
      <c r="G49" s="101"/>
      <c r="H49" s="101"/>
    </row>
    <row r="50" spans="1:8" hidden="1" x14ac:dyDescent="0.35">
      <c r="A50" s="67" t="s">
        <v>54</v>
      </c>
      <c r="B50" s="67" t="s">
        <v>373</v>
      </c>
      <c r="C50" s="101"/>
      <c r="D50" s="101"/>
      <c r="E50" s="101">
        <f>IF(Registrations[[#This Row],[Player 2]]="",Registrations[[#This Row],[Player 1]],Registrations[[#This Row],[Player 1]]&amp;" / "&amp;Registrations[[#This Row],[Player 2]])</f>
        <v>0</v>
      </c>
      <c r="F50" s="101"/>
      <c r="G50" s="101"/>
      <c r="H50" s="101"/>
    </row>
    <row r="51" spans="1:8" hidden="1" x14ac:dyDescent="0.35">
      <c r="A51" s="67" t="s">
        <v>54</v>
      </c>
      <c r="B51" s="67" t="s">
        <v>372</v>
      </c>
      <c r="C51" s="101"/>
      <c r="D51" s="101"/>
      <c r="E51" s="101">
        <f>IF(Registrations[[#This Row],[Player 2]]="",Registrations[[#This Row],[Player 1]],Registrations[[#This Row],[Player 1]]&amp;" / "&amp;Registrations[[#This Row],[Player 2]])</f>
        <v>0</v>
      </c>
      <c r="F51" s="101"/>
      <c r="G51" s="101"/>
      <c r="H51" s="101"/>
    </row>
    <row r="52" spans="1:8" hidden="1" x14ac:dyDescent="0.35">
      <c r="A52" s="67" t="s">
        <v>54</v>
      </c>
      <c r="B52" s="67" t="s">
        <v>371</v>
      </c>
      <c r="C52" s="101"/>
      <c r="D52" s="101"/>
      <c r="E52" s="101">
        <f>IF(Registrations[[#This Row],[Player 2]]="",Registrations[[#This Row],[Player 1]],Registrations[[#This Row],[Player 1]]&amp;" / "&amp;Registrations[[#This Row],[Player 2]])</f>
        <v>0</v>
      </c>
      <c r="F52" s="101"/>
      <c r="G52" s="101"/>
      <c r="H52" s="101"/>
    </row>
    <row r="53" spans="1:8" hidden="1" x14ac:dyDescent="0.35">
      <c r="A53" s="67" t="s">
        <v>54</v>
      </c>
      <c r="B53" s="67" t="s">
        <v>370</v>
      </c>
      <c r="C53" s="101"/>
      <c r="D53" s="101"/>
      <c r="E53" s="101">
        <f>IF(Registrations[[#This Row],[Player 2]]="",Registrations[[#This Row],[Player 1]],Registrations[[#This Row],[Player 1]]&amp;" / "&amp;Registrations[[#This Row],[Player 2]])</f>
        <v>0</v>
      </c>
      <c r="F53" s="101"/>
      <c r="G53" s="101"/>
      <c r="H53" s="101"/>
    </row>
    <row r="54" spans="1:8" hidden="1" x14ac:dyDescent="0.35">
      <c r="A54" s="67" t="s">
        <v>54</v>
      </c>
      <c r="B54" s="67" t="s">
        <v>369</v>
      </c>
      <c r="C54" s="101"/>
      <c r="D54" s="101"/>
      <c r="E54" s="101">
        <f>IF(Registrations[[#This Row],[Player 2]]="",Registrations[[#This Row],[Player 1]],Registrations[[#This Row],[Player 1]]&amp;" / "&amp;Registrations[[#This Row],[Player 2]])</f>
        <v>0</v>
      </c>
      <c r="F54" s="101"/>
      <c r="G54" s="101"/>
      <c r="H54" s="101"/>
    </row>
    <row r="55" spans="1:8" hidden="1" x14ac:dyDescent="0.35">
      <c r="A55" s="67" t="s">
        <v>54</v>
      </c>
      <c r="B55" s="67" t="s">
        <v>368</v>
      </c>
      <c r="C55" s="101"/>
      <c r="D55" s="101"/>
      <c r="E55" s="101">
        <f>IF(Registrations[[#This Row],[Player 2]]="",Registrations[[#This Row],[Player 1]],Registrations[[#This Row],[Player 1]]&amp;" / "&amp;Registrations[[#This Row],[Player 2]])</f>
        <v>0</v>
      </c>
      <c r="F55" s="101"/>
      <c r="G55" s="101"/>
      <c r="H55" s="101"/>
    </row>
    <row r="56" spans="1:8" hidden="1" x14ac:dyDescent="0.35">
      <c r="A56" s="67" t="s">
        <v>54</v>
      </c>
      <c r="B56" s="67" t="s">
        <v>367</v>
      </c>
      <c r="C56" s="101"/>
      <c r="D56" s="101"/>
      <c r="E56" s="101">
        <f>IF(Registrations[[#This Row],[Player 2]]="",Registrations[[#This Row],[Player 1]],Registrations[[#This Row],[Player 1]]&amp;" / "&amp;Registrations[[#This Row],[Player 2]])</f>
        <v>0</v>
      </c>
      <c r="F56" s="101"/>
      <c r="G56" s="101"/>
      <c r="H56" s="101"/>
    </row>
    <row r="57" spans="1:8" hidden="1" x14ac:dyDescent="0.35">
      <c r="A57" s="67" t="s">
        <v>54</v>
      </c>
      <c r="B57" s="67" t="s">
        <v>366</v>
      </c>
      <c r="C57" s="101"/>
      <c r="D57" s="101"/>
      <c r="E57" s="101">
        <f>IF(Registrations[[#This Row],[Player 2]]="",Registrations[[#This Row],[Player 1]],Registrations[[#This Row],[Player 1]]&amp;" / "&amp;Registrations[[#This Row],[Player 2]])</f>
        <v>0</v>
      </c>
      <c r="F57" s="101"/>
      <c r="G57" s="101"/>
      <c r="H57" s="101"/>
    </row>
    <row r="58" spans="1:8" hidden="1" x14ac:dyDescent="0.35">
      <c r="A58" s="67" t="s">
        <v>54</v>
      </c>
      <c r="B58" s="67" t="s">
        <v>365</v>
      </c>
      <c r="C58" s="101"/>
      <c r="D58" s="101"/>
      <c r="E58" s="101">
        <f>IF(Registrations[[#This Row],[Player 2]]="",Registrations[[#This Row],[Player 1]],Registrations[[#This Row],[Player 1]]&amp;" / "&amp;Registrations[[#This Row],[Player 2]])</f>
        <v>0</v>
      </c>
      <c r="F58" s="101"/>
      <c r="G58" s="101"/>
      <c r="H58" s="101"/>
    </row>
    <row r="59" spans="1:8" hidden="1" x14ac:dyDescent="0.35">
      <c r="A59" s="67" t="s">
        <v>54</v>
      </c>
      <c r="B59" s="67" t="s">
        <v>364</v>
      </c>
      <c r="C59" s="101"/>
      <c r="D59" s="101"/>
      <c r="E59" s="101">
        <f>IF(Registrations[[#This Row],[Player 2]]="",Registrations[[#This Row],[Player 1]],Registrations[[#This Row],[Player 1]]&amp;" / "&amp;Registrations[[#This Row],[Player 2]])</f>
        <v>0</v>
      </c>
      <c r="F59" s="101"/>
      <c r="G59" s="101"/>
      <c r="H59" s="101"/>
    </row>
    <row r="60" spans="1:8" hidden="1" x14ac:dyDescent="0.35">
      <c r="A60" s="67" t="s">
        <v>54</v>
      </c>
      <c r="B60" s="67" t="s">
        <v>363</v>
      </c>
      <c r="C60" s="101"/>
      <c r="D60" s="101"/>
      <c r="E60" s="101">
        <f>IF(Registrations[[#This Row],[Player 2]]="",Registrations[[#This Row],[Player 1]],Registrations[[#This Row],[Player 1]]&amp;" / "&amp;Registrations[[#This Row],[Player 2]])</f>
        <v>0</v>
      </c>
      <c r="F60" s="101"/>
      <c r="G60" s="101"/>
      <c r="H60" s="101"/>
    </row>
    <row r="61" spans="1:8" hidden="1" x14ac:dyDescent="0.35">
      <c r="A61" s="67" t="s">
        <v>54</v>
      </c>
      <c r="B61" s="67" t="s">
        <v>362</v>
      </c>
      <c r="C61" s="101"/>
      <c r="D61" s="101"/>
      <c r="E61" s="101">
        <f>IF(Registrations[[#This Row],[Player 2]]="",Registrations[[#This Row],[Player 1]],Registrations[[#This Row],[Player 1]]&amp;" / "&amp;Registrations[[#This Row],[Player 2]])</f>
        <v>0</v>
      </c>
      <c r="F61" s="101"/>
      <c r="G61" s="101"/>
      <c r="H61" s="101"/>
    </row>
    <row r="62" spans="1:8" hidden="1" x14ac:dyDescent="0.35">
      <c r="A62" s="67" t="s">
        <v>54</v>
      </c>
      <c r="B62" s="67" t="s">
        <v>361</v>
      </c>
      <c r="C62" s="101"/>
      <c r="D62" s="101"/>
      <c r="E62" s="101">
        <f>IF(Registrations[[#This Row],[Player 2]]="",Registrations[[#This Row],[Player 1]],Registrations[[#This Row],[Player 1]]&amp;" / "&amp;Registrations[[#This Row],[Player 2]])</f>
        <v>0</v>
      </c>
      <c r="F62" s="101"/>
      <c r="G62" s="101"/>
      <c r="H62" s="101"/>
    </row>
    <row r="63" spans="1:8" hidden="1" x14ac:dyDescent="0.35">
      <c r="A63" s="67" t="s">
        <v>54</v>
      </c>
      <c r="B63" s="67" t="s">
        <v>360</v>
      </c>
      <c r="C63" s="101"/>
      <c r="D63" s="101"/>
      <c r="E63" s="101">
        <f>IF(Registrations[[#This Row],[Player 2]]="",Registrations[[#This Row],[Player 1]],Registrations[[#This Row],[Player 1]]&amp;" / "&amp;Registrations[[#This Row],[Player 2]])</f>
        <v>0</v>
      </c>
      <c r="F63" s="101"/>
      <c r="G63" s="101"/>
      <c r="H63" s="101"/>
    </row>
    <row r="64" spans="1:8" hidden="1" x14ac:dyDescent="0.35">
      <c r="A64" s="67" t="s">
        <v>54</v>
      </c>
      <c r="B64" s="67" t="s">
        <v>359</v>
      </c>
      <c r="C64" s="101"/>
      <c r="D64" s="101"/>
      <c r="E64" s="101">
        <f>IF(Registrations[[#This Row],[Player 2]]="",Registrations[[#This Row],[Player 1]],Registrations[[#This Row],[Player 1]]&amp;" / "&amp;Registrations[[#This Row],[Player 2]])</f>
        <v>0</v>
      </c>
      <c r="F64" s="101"/>
      <c r="G64" s="101"/>
      <c r="H64" s="101"/>
    </row>
    <row r="65" spans="1:8" hidden="1" x14ac:dyDescent="0.35">
      <c r="A65" s="67" t="s">
        <v>54</v>
      </c>
      <c r="B65" s="67" t="s">
        <v>358</v>
      </c>
      <c r="C65" s="101"/>
      <c r="D65" s="101"/>
      <c r="E65" s="101">
        <f>IF(Registrations[[#This Row],[Player 2]]="",Registrations[[#This Row],[Player 1]],Registrations[[#This Row],[Player 1]]&amp;" / "&amp;Registrations[[#This Row],[Player 2]])</f>
        <v>0</v>
      </c>
      <c r="F65" s="101"/>
      <c r="G65" s="101"/>
      <c r="H65" s="101"/>
    </row>
    <row r="66" spans="1:8" hidden="1" x14ac:dyDescent="0.35">
      <c r="A66" s="67" t="s">
        <v>54</v>
      </c>
      <c r="B66" s="67" t="s">
        <v>357</v>
      </c>
      <c r="C66" s="101"/>
      <c r="D66" s="101"/>
      <c r="E66" s="101">
        <f>IF(Registrations[[#This Row],[Player 2]]="",Registrations[[#This Row],[Player 1]],Registrations[[#This Row],[Player 1]]&amp;" / "&amp;Registrations[[#This Row],[Player 2]])</f>
        <v>0</v>
      </c>
      <c r="F66" s="101"/>
      <c r="G66" s="101"/>
      <c r="H66" s="101"/>
    </row>
    <row r="67" spans="1:8" hidden="1" x14ac:dyDescent="0.35">
      <c r="A67" s="67" t="s">
        <v>54</v>
      </c>
      <c r="B67" s="67" t="s">
        <v>356</v>
      </c>
      <c r="C67" s="101"/>
      <c r="D67" s="101"/>
      <c r="E67" s="101">
        <f>IF(Registrations[[#This Row],[Player 2]]="",Registrations[[#This Row],[Player 1]],Registrations[[#This Row],[Player 1]]&amp;" / "&amp;Registrations[[#This Row],[Player 2]])</f>
        <v>0</v>
      </c>
      <c r="F67" s="101"/>
      <c r="G67" s="101"/>
      <c r="H67" s="101"/>
    </row>
    <row r="68" spans="1:8" hidden="1" x14ac:dyDescent="0.35">
      <c r="A68" s="67" t="s">
        <v>54</v>
      </c>
      <c r="B68" s="67" t="s">
        <v>355</v>
      </c>
      <c r="C68" s="101"/>
      <c r="D68" s="101"/>
      <c r="E68" s="101">
        <f>IF(Registrations[[#This Row],[Player 2]]="",Registrations[[#This Row],[Player 1]],Registrations[[#This Row],[Player 1]]&amp;" / "&amp;Registrations[[#This Row],[Player 2]])</f>
        <v>0</v>
      </c>
      <c r="F68" s="101"/>
      <c r="G68" s="101"/>
      <c r="H68" s="101"/>
    </row>
    <row r="69" spans="1:8" hidden="1" x14ac:dyDescent="0.35">
      <c r="A69" s="67" t="s">
        <v>54</v>
      </c>
      <c r="B69" s="67" t="s">
        <v>354</v>
      </c>
      <c r="C69" s="101"/>
      <c r="D69" s="101"/>
      <c r="E69" s="101">
        <f>IF(Registrations[[#This Row],[Player 2]]="",Registrations[[#This Row],[Player 1]],Registrations[[#This Row],[Player 1]]&amp;" / "&amp;Registrations[[#This Row],[Player 2]])</f>
        <v>0</v>
      </c>
      <c r="F69" s="101"/>
      <c r="G69" s="101"/>
      <c r="H69" s="101"/>
    </row>
    <row r="70" spans="1:8" hidden="1" x14ac:dyDescent="0.35">
      <c r="A70" s="67" t="s">
        <v>54</v>
      </c>
      <c r="B70" s="67" t="s">
        <v>353</v>
      </c>
      <c r="C70" s="101"/>
      <c r="D70" s="101"/>
      <c r="E70" s="101">
        <f>IF(Registrations[[#This Row],[Player 2]]="",Registrations[[#This Row],[Player 1]],Registrations[[#This Row],[Player 1]]&amp;" / "&amp;Registrations[[#This Row],[Player 2]])</f>
        <v>0</v>
      </c>
      <c r="F70" s="101"/>
      <c r="G70" s="101"/>
      <c r="H70" s="101"/>
    </row>
    <row r="71" spans="1:8" hidden="1" x14ac:dyDescent="0.35">
      <c r="A71" s="67" t="s">
        <v>54</v>
      </c>
      <c r="B71" s="67" t="s">
        <v>352</v>
      </c>
      <c r="C71" s="101"/>
      <c r="D71" s="101"/>
      <c r="E71" s="101">
        <f>IF(Registrations[[#This Row],[Player 2]]="",Registrations[[#This Row],[Player 1]],Registrations[[#This Row],[Player 1]]&amp;" / "&amp;Registrations[[#This Row],[Player 2]])</f>
        <v>0</v>
      </c>
      <c r="F71" s="101"/>
      <c r="G71" s="101"/>
      <c r="H71" s="101"/>
    </row>
    <row r="72" spans="1:8" hidden="1" x14ac:dyDescent="0.35">
      <c r="A72" s="67" t="s">
        <v>73</v>
      </c>
      <c r="B72" s="67" t="s">
        <v>235</v>
      </c>
      <c r="C72" s="101"/>
      <c r="D72" s="101"/>
      <c r="E72" s="101">
        <f>IF(Registrations[[#This Row],[Player 2]]="",Registrations[[#This Row],[Player 1]],Registrations[[#This Row],[Player 1]]&amp;" / "&amp;Registrations[[#This Row],[Player 2]])</f>
        <v>0</v>
      </c>
      <c r="F72" s="101"/>
      <c r="G72" s="101"/>
      <c r="H72" s="101"/>
    </row>
    <row r="73" spans="1:8" hidden="1" x14ac:dyDescent="0.35">
      <c r="A73" s="67" t="s">
        <v>73</v>
      </c>
      <c r="B73" s="67" t="s">
        <v>234</v>
      </c>
      <c r="C73" s="101"/>
      <c r="D73" s="101"/>
      <c r="E73" s="101">
        <f>IF(Registrations[[#This Row],[Player 2]]="",Registrations[[#This Row],[Player 1]],Registrations[[#This Row],[Player 1]]&amp;" / "&amp;Registrations[[#This Row],[Player 2]])</f>
        <v>0</v>
      </c>
      <c r="F73" s="101"/>
      <c r="G73" s="101"/>
      <c r="H73" s="101"/>
    </row>
    <row r="74" spans="1:8" hidden="1" x14ac:dyDescent="0.35">
      <c r="A74" s="67" t="s">
        <v>73</v>
      </c>
      <c r="B74" s="67" t="s">
        <v>233</v>
      </c>
      <c r="C74" s="101"/>
      <c r="D74" s="101"/>
      <c r="E74" s="101">
        <f>IF(Registrations[[#This Row],[Player 2]]="",Registrations[[#This Row],[Player 1]],Registrations[[#This Row],[Player 1]]&amp;" / "&amp;Registrations[[#This Row],[Player 2]])</f>
        <v>0</v>
      </c>
      <c r="F74" s="101"/>
      <c r="G74" s="101"/>
      <c r="H74" s="101"/>
    </row>
    <row r="75" spans="1:8" hidden="1" x14ac:dyDescent="0.35">
      <c r="A75" s="67" t="s">
        <v>73</v>
      </c>
      <c r="B75" s="67" t="s">
        <v>232</v>
      </c>
      <c r="C75" s="101"/>
      <c r="D75" s="101"/>
      <c r="E75" s="101">
        <f>IF(Registrations[[#This Row],[Player 2]]="",Registrations[[#This Row],[Player 1]],Registrations[[#This Row],[Player 1]]&amp;" / "&amp;Registrations[[#This Row],[Player 2]])</f>
        <v>0</v>
      </c>
      <c r="F75" s="101"/>
      <c r="G75" s="101"/>
      <c r="H75" s="101"/>
    </row>
    <row r="76" spans="1:8" hidden="1" x14ac:dyDescent="0.35">
      <c r="A76" s="67" t="s">
        <v>73</v>
      </c>
      <c r="B76" s="67" t="s">
        <v>231</v>
      </c>
      <c r="C76" s="101"/>
      <c r="D76" s="101"/>
      <c r="E76" s="101">
        <f>IF(Registrations[[#This Row],[Player 2]]="",Registrations[[#This Row],[Player 1]],Registrations[[#This Row],[Player 1]]&amp;" / "&amp;Registrations[[#This Row],[Player 2]])</f>
        <v>0</v>
      </c>
      <c r="F76" s="101"/>
      <c r="G76" s="101"/>
      <c r="H76" s="101"/>
    </row>
    <row r="77" spans="1:8" hidden="1" x14ac:dyDescent="0.35">
      <c r="A77" s="67" t="s">
        <v>73</v>
      </c>
      <c r="B77" s="67" t="s">
        <v>230</v>
      </c>
      <c r="C77" s="101"/>
      <c r="D77" s="101"/>
      <c r="E77" s="101">
        <f>IF(Registrations[[#This Row],[Player 2]]="",Registrations[[#This Row],[Player 1]],Registrations[[#This Row],[Player 1]]&amp;" / "&amp;Registrations[[#This Row],[Player 2]])</f>
        <v>0</v>
      </c>
      <c r="F77" s="101"/>
      <c r="G77" s="101"/>
      <c r="H77" s="101"/>
    </row>
    <row r="78" spans="1:8" hidden="1" x14ac:dyDescent="0.35">
      <c r="A78" s="67" t="s">
        <v>73</v>
      </c>
      <c r="B78" s="67" t="s">
        <v>229</v>
      </c>
      <c r="C78" s="101"/>
      <c r="D78" s="101"/>
      <c r="E78" s="101">
        <f>IF(Registrations[[#This Row],[Player 2]]="",Registrations[[#This Row],[Player 1]],Registrations[[#This Row],[Player 1]]&amp;" / "&amp;Registrations[[#This Row],[Player 2]])</f>
        <v>0</v>
      </c>
      <c r="F78" s="101"/>
      <c r="G78" s="101"/>
      <c r="H78" s="101"/>
    </row>
    <row r="79" spans="1:8" hidden="1" x14ac:dyDescent="0.35">
      <c r="A79" s="67" t="s">
        <v>73</v>
      </c>
      <c r="B79" s="67" t="s">
        <v>228</v>
      </c>
      <c r="C79" s="101"/>
      <c r="D79" s="101"/>
      <c r="E79" s="101">
        <f>IF(Registrations[[#This Row],[Player 2]]="",Registrations[[#This Row],[Player 1]],Registrations[[#This Row],[Player 1]]&amp;" / "&amp;Registrations[[#This Row],[Player 2]])</f>
        <v>0</v>
      </c>
      <c r="F79" s="101"/>
      <c r="G79" s="101"/>
      <c r="H79" s="101"/>
    </row>
    <row r="80" spans="1:8" hidden="1" x14ac:dyDescent="0.35">
      <c r="A80" s="67" t="s">
        <v>73</v>
      </c>
      <c r="B80" s="67" t="s">
        <v>227</v>
      </c>
      <c r="C80" s="101"/>
      <c r="D80" s="101"/>
      <c r="E80" s="101">
        <f>IF(Registrations[[#This Row],[Player 2]]="",Registrations[[#This Row],[Player 1]],Registrations[[#This Row],[Player 1]]&amp;" / "&amp;Registrations[[#This Row],[Player 2]])</f>
        <v>0</v>
      </c>
      <c r="F80" s="101"/>
      <c r="G80" s="101"/>
      <c r="H80" s="101"/>
    </row>
    <row r="81" spans="1:8" hidden="1" x14ac:dyDescent="0.35">
      <c r="A81" s="67" t="s">
        <v>73</v>
      </c>
      <c r="B81" s="67" t="s">
        <v>226</v>
      </c>
      <c r="C81" s="101"/>
      <c r="D81" s="101"/>
      <c r="E81" s="101">
        <f>IF(Registrations[[#This Row],[Player 2]]="",Registrations[[#This Row],[Player 1]],Registrations[[#This Row],[Player 1]]&amp;" / "&amp;Registrations[[#This Row],[Player 2]])</f>
        <v>0</v>
      </c>
      <c r="F81" s="101"/>
      <c r="G81" s="101"/>
      <c r="H81" s="101"/>
    </row>
    <row r="82" spans="1:8" hidden="1" x14ac:dyDescent="0.35">
      <c r="A82" s="67" t="s">
        <v>73</v>
      </c>
      <c r="B82" s="67" t="s">
        <v>225</v>
      </c>
      <c r="C82" s="101"/>
      <c r="D82" s="101"/>
      <c r="E82" s="101">
        <f>IF(Registrations[[#This Row],[Player 2]]="",Registrations[[#This Row],[Player 1]],Registrations[[#This Row],[Player 1]]&amp;" / "&amp;Registrations[[#This Row],[Player 2]])</f>
        <v>0</v>
      </c>
      <c r="F82" s="101"/>
      <c r="G82" s="101"/>
      <c r="H82" s="101"/>
    </row>
    <row r="83" spans="1:8" hidden="1" x14ac:dyDescent="0.35">
      <c r="A83" s="67" t="s">
        <v>73</v>
      </c>
      <c r="B83" s="67" t="s">
        <v>224</v>
      </c>
      <c r="C83" s="101"/>
      <c r="D83" s="101"/>
      <c r="E83" s="101">
        <f>IF(Registrations[[#This Row],[Player 2]]="",Registrations[[#This Row],[Player 1]],Registrations[[#This Row],[Player 1]]&amp;" / "&amp;Registrations[[#This Row],[Player 2]])</f>
        <v>0</v>
      </c>
      <c r="F83" s="101"/>
      <c r="G83" s="101"/>
      <c r="H83" s="101"/>
    </row>
    <row r="84" spans="1:8" hidden="1" x14ac:dyDescent="0.35">
      <c r="A84" s="67" t="s">
        <v>73</v>
      </c>
      <c r="B84" s="67" t="s">
        <v>351</v>
      </c>
      <c r="C84" s="101"/>
      <c r="D84" s="101"/>
      <c r="E84" s="101">
        <f>IF(Registrations[[#This Row],[Player 2]]="",Registrations[[#This Row],[Player 1]],Registrations[[#This Row],[Player 1]]&amp;" / "&amp;Registrations[[#This Row],[Player 2]])</f>
        <v>0</v>
      </c>
      <c r="F84" s="101"/>
      <c r="G84" s="101"/>
      <c r="H84" s="101"/>
    </row>
    <row r="85" spans="1:8" hidden="1" x14ac:dyDescent="0.35">
      <c r="A85" s="67" t="s">
        <v>73</v>
      </c>
      <c r="B85" s="67" t="s">
        <v>350</v>
      </c>
      <c r="C85" s="101"/>
      <c r="D85" s="101"/>
      <c r="E85" s="101">
        <f>IF(Registrations[[#This Row],[Player 2]]="",Registrations[[#This Row],[Player 1]],Registrations[[#This Row],[Player 1]]&amp;" / "&amp;Registrations[[#This Row],[Player 2]])</f>
        <v>0</v>
      </c>
      <c r="F85" s="101"/>
      <c r="G85" s="101"/>
      <c r="H85" s="101"/>
    </row>
    <row r="86" spans="1:8" hidden="1" x14ac:dyDescent="0.35">
      <c r="A86" s="67" t="s">
        <v>73</v>
      </c>
      <c r="B86" s="67" t="s">
        <v>349</v>
      </c>
      <c r="C86" s="101"/>
      <c r="D86" s="101"/>
      <c r="E86" s="101">
        <f>IF(Registrations[[#This Row],[Player 2]]="",Registrations[[#This Row],[Player 1]],Registrations[[#This Row],[Player 1]]&amp;" / "&amp;Registrations[[#This Row],[Player 2]])</f>
        <v>0</v>
      </c>
      <c r="F86" s="101"/>
      <c r="G86" s="101"/>
      <c r="H86" s="101"/>
    </row>
    <row r="87" spans="1:8" hidden="1" x14ac:dyDescent="0.35">
      <c r="A87" s="67" t="s">
        <v>73</v>
      </c>
      <c r="B87" s="67" t="s">
        <v>348</v>
      </c>
      <c r="C87" s="101"/>
      <c r="D87" s="101"/>
      <c r="E87" s="101">
        <f>IF(Registrations[[#This Row],[Player 2]]="",Registrations[[#This Row],[Player 1]],Registrations[[#This Row],[Player 1]]&amp;" / "&amp;Registrations[[#This Row],[Player 2]])</f>
        <v>0</v>
      </c>
      <c r="F87" s="101"/>
      <c r="G87" s="101"/>
      <c r="H87" s="101"/>
    </row>
    <row r="88" spans="1:8" hidden="1" x14ac:dyDescent="0.35">
      <c r="A88" s="67" t="s">
        <v>73</v>
      </c>
      <c r="B88" s="67" t="s">
        <v>347</v>
      </c>
      <c r="C88" s="101"/>
      <c r="D88" s="101"/>
      <c r="E88" s="101">
        <f>IF(Registrations[[#This Row],[Player 2]]="",Registrations[[#This Row],[Player 1]],Registrations[[#This Row],[Player 1]]&amp;" / "&amp;Registrations[[#This Row],[Player 2]])</f>
        <v>0</v>
      </c>
      <c r="F88" s="101"/>
      <c r="G88" s="101"/>
      <c r="H88" s="101"/>
    </row>
    <row r="89" spans="1:8" hidden="1" x14ac:dyDescent="0.35">
      <c r="A89" s="67" t="s">
        <v>73</v>
      </c>
      <c r="B89" s="67" t="s">
        <v>346</v>
      </c>
      <c r="C89" s="101"/>
      <c r="D89" s="101"/>
      <c r="E89" s="101">
        <f>IF(Registrations[[#This Row],[Player 2]]="",Registrations[[#This Row],[Player 1]],Registrations[[#This Row],[Player 1]]&amp;" / "&amp;Registrations[[#This Row],[Player 2]])</f>
        <v>0</v>
      </c>
      <c r="F89" s="101"/>
      <c r="G89" s="101"/>
      <c r="H89" s="101"/>
    </row>
    <row r="90" spans="1:8" hidden="1" x14ac:dyDescent="0.35">
      <c r="A90" s="67" t="s">
        <v>73</v>
      </c>
      <c r="B90" s="67" t="s">
        <v>345</v>
      </c>
      <c r="C90" s="101"/>
      <c r="D90" s="101"/>
      <c r="E90" s="101">
        <f>IF(Registrations[[#This Row],[Player 2]]="",Registrations[[#This Row],[Player 1]],Registrations[[#This Row],[Player 1]]&amp;" / "&amp;Registrations[[#This Row],[Player 2]])</f>
        <v>0</v>
      </c>
      <c r="F90" s="101"/>
      <c r="G90" s="101"/>
      <c r="H90" s="101"/>
    </row>
    <row r="91" spans="1:8" hidden="1" x14ac:dyDescent="0.35">
      <c r="A91" s="67" t="s">
        <v>73</v>
      </c>
      <c r="B91" s="67" t="s">
        <v>344</v>
      </c>
      <c r="C91" s="101"/>
      <c r="D91" s="101"/>
      <c r="E91" s="101">
        <f>IF(Registrations[[#This Row],[Player 2]]="",Registrations[[#This Row],[Player 1]],Registrations[[#This Row],[Player 1]]&amp;" / "&amp;Registrations[[#This Row],[Player 2]])</f>
        <v>0</v>
      </c>
      <c r="F91" s="101"/>
      <c r="G91" s="101"/>
      <c r="H91" s="101"/>
    </row>
    <row r="92" spans="1:8" hidden="1" x14ac:dyDescent="0.35">
      <c r="A92" s="67" t="s">
        <v>73</v>
      </c>
      <c r="B92" s="67" t="s">
        <v>343</v>
      </c>
      <c r="C92" s="101"/>
      <c r="D92" s="101"/>
      <c r="E92" s="101">
        <f>IF(Registrations[[#This Row],[Player 2]]="",Registrations[[#This Row],[Player 1]],Registrations[[#This Row],[Player 1]]&amp;" / "&amp;Registrations[[#This Row],[Player 2]])</f>
        <v>0</v>
      </c>
      <c r="F92" s="101"/>
      <c r="G92" s="101"/>
      <c r="H92" s="101"/>
    </row>
    <row r="93" spans="1:8" hidden="1" x14ac:dyDescent="0.35">
      <c r="A93" s="67" t="s">
        <v>73</v>
      </c>
      <c r="B93" s="67" t="s">
        <v>342</v>
      </c>
      <c r="C93" s="101"/>
      <c r="D93" s="101"/>
      <c r="E93" s="101">
        <f>IF(Registrations[[#This Row],[Player 2]]="",Registrations[[#This Row],[Player 1]],Registrations[[#This Row],[Player 1]]&amp;" / "&amp;Registrations[[#This Row],[Player 2]])</f>
        <v>0</v>
      </c>
      <c r="F93" s="101"/>
      <c r="G93" s="101"/>
      <c r="H93" s="101"/>
    </row>
    <row r="94" spans="1:8" hidden="1" x14ac:dyDescent="0.35">
      <c r="A94" s="67" t="s">
        <v>73</v>
      </c>
      <c r="B94" s="67" t="s">
        <v>341</v>
      </c>
      <c r="C94" s="101"/>
      <c r="D94" s="101"/>
      <c r="E94" s="101">
        <f>IF(Registrations[[#This Row],[Player 2]]="",Registrations[[#This Row],[Player 1]],Registrations[[#This Row],[Player 1]]&amp;" / "&amp;Registrations[[#This Row],[Player 2]])</f>
        <v>0</v>
      </c>
      <c r="F94" s="101"/>
      <c r="G94" s="101"/>
      <c r="H94" s="101"/>
    </row>
    <row r="95" spans="1:8" hidden="1" x14ac:dyDescent="0.35">
      <c r="A95" s="67" t="s">
        <v>73</v>
      </c>
      <c r="B95" s="67" t="s">
        <v>340</v>
      </c>
      <c r="C95" s="101"/>
      <c r="D95" s="101"/>
      <c r="E95" s="101">
        <f>IF(Registrations[[#This Row],[Player 2]]="",Registrations[[#This Row],[Player 1]],Registrations[[#This Row],[Player 1]]&amp;" / "&amp;Registrations[[#This Row],[Player 2]])</f>
        <v>0</v>
      </c>
      <c r="F95" s="101"/>
      <c r="G95" s="101"/>
      <c r="H95" s="101"/>
    </row>
    <row r="96" spans="1:8" hidden="1" x14ac:dyDescent="0.35">
      <c r="A96" s="67" t="s">
        <v>56</v>
      </c>
      <c r="B96" s="67" t="s">
        <v>339</v>
      </c>
      <c r="C96" s="101"/>
      <c r="D96" s="101"/>
      <c r="E96" s="101">
        <f>IF(Registrations[[#This Row],[Player 2]]="",Registrations[[#This Row],[Player 1]],Registrations[[#This Row],[Player 1]]&amp;" / "&amp;Registrations[[#This Row],[Player 2]])</f>
        <v>0</v>
      </c>
      <c r="F96" s="101"/>
      <c r="G96" s="101"/>
      <c r="H96" s="101"/>
    </row>
    <row r="97" spans="1:8" hidden="1" x14ac:dyDescent="0.35">
      <c r="A97" s="67" t="s">
        <v>56</v>
      </c>
      <c r="B97" s="67" t="s">
        <v>338</v>
      </c>
      <c r="C97" s="101"/>
      <c r="D97" s="101"/>
      <c r="E97" s="101">
        <f>IF(Registrations[[#This Row],[Player 2]]="",Registrations[[#This Row],[Player 1]],Registrations[[#This Row],[Player 1]]&amp;" / "&amp;Registrations[[#This Row],[Player 2]])</f>
        <v>0</v>
      </c>
      <c r="F97" s="101"/>
      <c r="G97" s="101"/>
      <c r="H97" s="101"/>
    </row>
    <row r="98" spans="1:8" hidden="1" x14ac:dyDescent="0.35">
      <c r="A98" s="67" t="s">
        <v>56</v>
      </c>
      <c r="B98" s="67" t="s">
        <v>337</v>
      </c>
      <c r="C98" s="101"/>
      <c r="D98" s="101"/>
      <c r="E98" s="101">
        <f>IF(Registrations[[#This Row],[Player 2]]="",Registrations[[#This Row],[Player 1]],Registrations[[#This Row],[Player 1]]&amp;" / "&amp;Registrations[[#This Row],[Player 2]])</f>
        <v>0</v>
      </c>
      <c r="F98" s="101"/>
      <c r="G98" s="101"/>
      <c r="H98" s="101"/>
    </row>
    <row r="99" spans="1:8" hidden="1" x14ac:dyDescent="0.35">
      <c r="A99" s="67" t="s">
        <v>56</v>
      </c>
      <c r="B99" s="67" t="s">
        <v>336</v>
      </c>
      <c r="C99" s="101"/>
      <c r="D99" s="101"/>
      <c r="E99" s="101">
        <f>IF(Registrations[[#This Row],[Player 2]]="",Registrations[[#This Row],[Player 1]],Registrations[[#This Row],[Player 1]]&amp;" / "&amp;Registrations[[#This Row],[Player 2]])</f>
        <v>0</v>
      </c>
      <c r="F99" s="101"/>
      <c r="G99" s="101"/>
      <c r="H99" s="101"/>
    </row>
    <row r="100" spans="1:8" hidden="1" x14ac:dyDescent="0.35">
      <c r="A100" s="67" t="s">
        <v>56</v>
      </c>
      <c r="B100" s="67" t="s">
        <v>335</v>
      </c>
      <c r="C100" s="101"/>
      <c r="D100" s="101"/>
      <c r="E100" s="101">
        <f>IF(Registrations[[#This Row],[Player 2]]="",Registrations[[#This Row],[Player 1]],Registrations[[#This Row],[Player 1]]&amp;" / "&amp;Registrations[[#This Row],[Player 2]])</f>
        <v>0</v>
      </c>
      <c r="F100" s="101"/>
      <c r="G100" s="101"/>
      <c r="H100" s="101"/>
    </row>
    <row r="101" spans="1:8" hidden="1" x14ac:dyDescent="0.35">
      <c r="A101" s="67" t="s">
        <v>56</v>
      </c>
      <c r="B101" s="67" t="s">
        <v>334</v>
      </c>
      <c r="C101" s="101"/>
      <c r="D101" s="101"/>
      <c r="E101" s="101">
        <f>IF(Registrations[[#This Row],[Player 2]]="",Registrations[[#This Row],[Player 1]],Registrations[[#This Row],[Player 1]]&amp;" / "&amp;Registrations[[#This Row],[Player 2]])</f>
        <v>0</v>
      </c>
      <c r="F101" s="101"/>
      <c r="G101" s="101"/>
      <c r="H101" s="101"/>
    </row>
    <row r="102" spans="1:8" hidden="1" x14ac:dyDescent="0.35">
      <c r="A102" s="67" t="s">
        <v>56</v>
      </c>
      <c r="B102" s="67" t="s">
        <v>333</v>
      </c>
      <c r="C102" s="101"/>
      <c r="D102" s="101"/>
      <c r="E102" s="101">
        <f>IF(Registrations[[#This Row],[Player 2]]="",Registrations[[#This Row],[Player 1]],Registrations[[#This Row],[Player 1]]&amp;" / "&amp;Registrations[[#This Row],[Player 2]])</f>
        <v>0</v>
      </c>
      <c r="F102" s="101"/>
      <c r="G102" s="101"/>
      <c r="H102" s="101"/>
    </row>
    <row r="103" spans="1:8" hidden="1" x14ac:dyDescent="0.35">
      <c r="A103" s="67" t="s">
        <v>56</v>
      </c>
      <c r="B103" s="67" t="s">
        <v>332</v>
      </c>
      <c r="C103" s="101"/>
      <c r="D103" s="101"/>
      <c r="E103" s="101">
        <f>IF(Registrations[[#This Row],[Player 2]]="",Registrations[[#This Row],[Player 1]],Registrations[[#This Row],[Player 1]]&amp;" / "&amp;Registrations[[#This Row],[Player 2]])</f>
        <v>0</v>
      </c>
      <c r="F103" s="101"/>
      <c r="G103" s="101"/>
      <c r="H103" s="101"/>
    </row>
    <row r="104" spans="1:8" hidden="1" x14ac:dyDescent="0.35">
      <c r="A104" s="67" t="s">
        <v>56</v>
      </c>
      <c r="B104" s="67" t="s">
        <v>331</v>
      </c>
      <c r="C104" s="101"/>
      <c r="D104" s="101"/>
      <c r="E104" s="101">
        <f>IF(Registrations[[#This Row],[Player 2]]="",Registrations[[#This Row],[Player 1]],Registrations[[#This Row],[Player 1]]&amp;" / "&amp;Registrations[[#This Row],[Player 2]])</f>
        <v>0</v>
      </c>
      <c r="F104" s="101"/>
      <c r="G104" s="101"/>
      <c r="H104" s="101"/>
    </row>
    <row r="105" spans="1:8" hidden="1" x14ac:dyDescent="0.35">
      <c r="A105" s="67" t="s">
        <v>56</v>
      </c>
      <c r="B105" s="67" t="s">
        <v>330</v>
      </c>
      <c r="C105" s="101"/>
      <c r="D105" s="101"/>
      <c r="E105" s="101">
        <f>IF(Registrations[[#This Row],[Player 2]]="",Registrations[[#This Row],[Player 1]],Registrations[[#This Row],[Player 1]]&amp;" / "&amp;Registrations[[#This Row],[Player 2]])</f>
        <v>0</v>
      </c>
      <c r="F105" s="101"/>
      <c r="G105" s="101"/>
      <c r="H105" s="101"/>
    </row>
    <row r="106" spans="1:8" hidden="1" x14ac:dyDescent="0.35">
      <c r="A106" s="67" t="s">
        <v>56</v>
      </c>
      <c r="B106" s="67" t="s">
        <v>329</v>
      </c>
      <c r="C106" s="101"/>
      <c r="D106" s="101"/>
      <c r="E106" s="101">
        <f>IF(Registrations[[#This Row],[Player 2]]="",Registrations[[#This Row],[Player 1]],Registrations[[#This Row],[Player 1]]&amp;" / "&amp;Registrations[[#This Row],[Player 2]])</f>
        <v>0</v>
      </c>
      <c r="F106" s="101"/>
      <c r="G106" s="101"/>
      <c r="H106" s="101"/>
    </row>
    <row r="107" spans="1:8" hidden="1" x14ac:dyDescent="0.35">
      <c r="A107" s="67" t="s">
        <v>56</v>
      </c>
      <c r="B107" s="67" t="s">
        <v>328</v>
      </c>
      <c r="C107" s="101"/>
      <c r="D107" s="101"/>
      <c r="E107" s="101">
        <f>IF(Registrations[[#This Row],[Player 2]]="",Registrations[[#This Row],[Player 1]],Registrations[[#This Row],[Player 1]]&amp;" / "&amp;Registrations[[#This Row],[Player 2]])</f>
        <v>0</v>
      </c>
      <c r="F107" s="101"/>
      <c r="G107" s="101"/>
      <c r="H107" s="101"/>
    </row>
    <row r="108" spans="1:8" hidden="1" x14ac:dyDescent="0.35">
      <c r="A108" s="67" t="s">
        <v>56</v>
      </c>
      <c r="B108" s="67" t="s">
        <v>327</v>
      </c>
      <c r="C108" s="101"/>
      <c r="D108" s="101"/>
      <c r="E108" s="101">
        <f>IF(Registrations[[#This Row],[Player 2]]="",Registrations[[#This Row],[Player 1]],Registrations[[#This Row],[Player 1]]&amp;" / "&amp;Registrations[[#This Row],[Player 2]])</f>
        <v>0</v>
      </c>
      <c r="F108" s="101"/>
      <c r="G108" s="101"/>
      <c r="H108" s="101"/>
    </row>
    <row r="109" spans="1:8" hidden="1" x14ac:dyDescent="0.35">
      <c r="A109" s="67" t="s">
        <v>56</v>
      </c>
      <c r="B109" s="67" t="s">
        <v>326</v>
      </c>
      <c r="C109" s="101"/>
      <c r="D109" s="101"/>
      <c r="E109" s="101">
        <f>IF(Registrations[[#This Row],[Player 2]]="",Registrations[[#This Row],[Player 1]],Registrations[[#This Row],[Player 1]]&amp;" / "&amp;Registrations[[#This Row],[Player 2]])</f>
        <v>0</v>
      </c>
      <c r="F109" s="101"/>
      <c r="G109" s="101"/>
      <c r="H109" s="101"/>
    </row>
    <row r="110" spans="1:8" hidden="1" x14ac:dyDescent="0.35">
      <c r="A110" s="67" t="s">
        <v>56</v>
      </c>
      <c r="B110" s="67" t="s">
        <v>325</v>
      </c>
      <c r="C110" s="101"/>
      <c r="D110" s="101"/>
      <c r="E110" s="101">
        <f>IF(Registrations[[#This Row],[Player 2]]="",Registrations[[#This Row],[Player 1]],Registrations[[#This Row],[Player 1]]&amp;" / "&amp;Registrations[[#This Row],[Player 2]])</f>
        <v>0</v>
      </c>
      <c r="F110" s="101"/>
      <c r="G110" s="101"/>
      <c r="H110" s="101"/>
    </row>
    <row r="111" spans="1:8" hidden="1" x14ac:dyDescent="0.35">
      <c r="A111" s="67" t="s">
        <v>56</v>
      </c>
      <c r="B111" s="67" t="s">
        <v>324</v>
      </c>
      <c r="C111" s="101"/>
      <c r="D111" s="101"/>
      <c r="E111" s="101">
        <f>IF(Registrations[[#This Row],[Player 2]]="",Registrations[[#This Row],[Player 1]],Registrations[[#This Row],[Player 1]]&amp;" / "&amp;Registrations[[#This Row],[Player 2]])</f>
        <v>0</v>
      </c>
      <c r="F111" s="101"/>
      <c r="G111" s="101"/>
      <c r="H111" s="101"/>
    </row>
    <row r="112" spans="1:8" hidden="1" x14ac:dyDescent="0.35">
      <c r="A112" s="67" t="s">
        <v>56</v>
      </c>
      <c r="B112" s="67" t="s">
        <v>323</v>
      </c>
      <c r="C112" s="101"/>
      <c r="D112" s="101"/>
      <c r="E112" s="101">
        <f>IF(Registrations[[#This Row],[Player 2]]="",Registrations[[#This Row],[Player 1]],Registrations[[#This Row],[Player 1]]&amp;" / "&amp;Registrations[[#This Row],[Player 2]])</f>
        <v>0</v>
      </c>
      <c r="F112" s="101"/>
      <c r="G112" s="101"/>
      <c r="H112" s="101"/>
    </row>
    <row r="113" spans="1:8" hidden="1" x14ac:dyDescent="0.35">
      <c r="A113" s="67" t="s">
        <v>56</v>
      </c>
      <c r="B113" s="67" t="s">
        <v>322</v>
      </c>
      <c r="C113" s="101"/>
      <c r="D113" s="101"/>
      <c r="E113" s="101">
        <f>IF(Registrations[[#This Row],[Player 2]]="",Registrations[[#This Row],[Player 1]],Registrations[[#This Row],[Player 1]]&amp;" / "&amp;Registrations[[#This Row],[Player 2]])</f>
        <v>0</v>
      </c>
      <c r="F113" s="101"/>
      <c r="G113" s="101"/>
      <c r="H113" s="101"/>
    </row>
    <row r="114" spans="1:8" hidden="1" x14ac:dyDescent="0.35">
      <c r="A114" s="67" t="s">
        <v>56</v>
      </c>
      <c r="B114" s="67" t="s">
        <v>321</v>
      </c>
      <c r="C114" s="101"/>
      <c r="D114" s="101"/>
      <c r="E114" s="101">
        <f>IF(Registrations[[#This Row],[Player 2]]="",Registrations[[#This Row],[Player 1]],Registrations[[#This Row],[Player 1]]&amp;" / "&amp;Registrations[[#This Row],[Player 2]])</f>
        <v>0</v>
      </c>
      <c r="F114" s="101"/>
      <c r="G114" s="101"/>
      <c r="H114" s="101"/>
    </row>
    <row r="115" spans="1:8" hidden="1" x14ac:dyDescent="0.35">
      <c r="A115" s="67" t="s">
        <v>56</v>
      </c>
      <c r="B115" s="67" t="s">
        <v>320</v>
      </c>
      <c r="C115" s="101"/>
      <c r="D115" s="101"/>
      <c r="E115" s="101">
        <f>IF(Registrations[[#This Row],[Player 2]]="",Registrations[[#This Row],[Player 1]],Registrations[[#This Row],[Player 1]]&amp;" / "&amp;Registrations[[#This Row],[Player 2]])</f>
        <v>0</v>
      </c>
      <c r="F115" s="101"/>
      <c r="G115" s="101"/>
      <c r="H115" s="101"/>
    </row>
    <row r="116" spans="1:8" hidden="1" x14ac:dyDescent="0.35">
      <c r="A116" s="67" t="s">
        <v>56</v>
      </c>
      <c r="B116" s="67" t="s">
        <v>319</v>
      </c>
      <c r="C116" s="101"/>
      <c r="D116" s="101"/>
      <c r="E116" s="101">
        <f>IF(Registrations[[#This Row],[Player 2]]="",Registrations[[#This Row],[Player 1]],Registrations[[#This Row],[Player 1]]&amp;" / "&amp;Registrations[[#This Row],[Player 2]])</f>
        <v>0</v>
      </c>
      <c r="F116" s="101"/>
      <c r="G116" s="101"/>
      <c r="H116" s="101"/>
    </row>
    <row r="117" spans="1:8" hidden="1" x14ac:dyDescent="0.35">
      <c r="A117" s="67" t="s">
        <v>56</v>
      </c>
      <c r="B117" s="67" t="s">
        <v>318</v>
      </c>
      <c r="C117" s="101"/>
      <c r="D117" s="101"/>
      <c r="E117" s="101">
        <f>IF(Registrations[[#This Row],[Player 2]]="",Registrations[[#This Row],[Player 1]],Registrations[[#This Row],[Player 1]]&amp;" / "&amp;Registrations[[#This Row],[Player 2]])</f>
        <v>0</v>
      </c>
      <c r="F117" s="101"/>
      <c r="G117" s="101"/>
      <c r="H117" s="101"/>
    </row>
    <row r="118" spans="1:8" hidden="1" x14ac:dyDescent="0.35">
      <c r="A118" s="67" t="s">
        <v>56</v>
      </c>
      <c r="B118" s="67" t="s">
        <v>317</v>
      </c>
      <c r="C118" s="101"/>
      <c r="D118" s="101"/>
      <c r="E118" s="101">
        <f>IF(Registrations[[#This Row],[Player 2]]="",Registrations[[#This Row],[Player 1]],Registrations[[#This Row],[Player 1]]&amp;" / "&amp;Registrations[[#This Row],[Player 2]])</f>
        <v>0</v>
      </c>
      <c r="F118" s="101"/>
      <c r="G118" s="101"/>
      <c r="H118" s="101"/>
    </row>
    <row r="119" spans="1:8" hidden="1" x14ac:dyDescent="0.35">
      <c r="A119" s="67" t="s">
        <v>56</v>
      </c>
      <c r="B119" s="67" t="s">
        <v>316</v>
      </c>
      <c r="C119" s="101"/>
      <c r="D119" s="101"/>
      <c r="E119" s="101">
        <f>IF(Registrations[[#This Row],[Player 2]]="",Registrations[[#This Row],[Player 1]],Registrations[[#This Row],[Player 1]]&amp;" / "&amp;Registrations[[#This Row],[Player 2]])</f>
        <v>0</v>
      </c>
      <c r="F119" s="101"/>
      <c r="G119" s="101"/>
      <c r="H119" s="101"/>
    </row>
    <row r="120" spans="1:8" hidden="1" x14ac:dyDescent="0.35">
      <c r="A120" s="67" t="s">
        <v>51</v>
      </c>
      <c r="B120" s="67" t="s">
        <v>315</v>
      </c>
      <c r="C120" s="101" t="s">
        <v>470</v>
      </c>
      <c r="D120" s="101" t="s">
        <v>147</v>
      </c>
      <c r="E120" s="101" t="str">
        <f>IF(Registrations[[#This Row],[Player 2]]="",Registrations[[#This Row],[Player 1]],Registrations[[#This Row],[Player 1]]&amp;" / "&amp;Registrations[[#This Row],[Player 2]])</f>
        <v>Rajib Sengupta / Antriksh Gala</v>
      </c>
      <c r="F120" s="101">
        <v>643027306079</v>
      </c>
      <c r="G120" s="101"/>
      <c r="H120" s="101"/>
    </row>
    <row r="121" spans="1:8" hidden="1" x14ac:dyDescent="0.35">
      <c r="A121" s="67" t="s">
        <v>51</v>
      </c>
      <c r="B121" s="67" t="s">
        <v>314</v>
      </c>
      <c r="C121" s="101" t="s">
        <v>128</v>
      </c>
      <c r="D121" s="101" t="s">
        <v>512</v>
      </c>
      <c r="E121" s="101" t="str">
        <f>IF(Registrations[[#This Row],[Player 2]]="",Registrations[[#This Row],[Player 1]],Registrations[[#This Row],[Player 1]]&amp;" / "&amp;Registrations[[#This Row],[Player 2]])</f>
        <v>Pratik Bhagat / Godfrey Kattancherry</v>
      </c>
      <c r="F121" s="101">
        <v>119739308747</v>
      </c>
      <c r="G121" s="101"/>
      <c r="H121" s="101"/>
    </row>
    <row r="122" spans="1:8" hidden="1" x14ac:dyDescent="0.35">
      <c r="A122" s="67" t="s">
        <v>51</v>
      </c>
      <c r="B122" s="67" t="s">
        <v>313</v>
      </c>
      <c r="C122" s="101"/>
      <c r="D122" s="101"/>
      <c r="E122" s="101">
        <f>IF(Registrations[[#This Row],[Player 2]]="",Registrations[[#This Row],[Player 1]],Registrations[[#This Row],[Player 1]]&amp;" / "&amp;Registrations[[#This Row],[Player 2]])</f>
        <v>0</v>
      </c>
      <c r="F122" s="101"/>
      <c r="G122" s="101"/>
      <c r="H122" s="101"/>
    </row>
    <row r="123" spans="1:8" hidden="1" x14ac:dyDescent="0.35">
      <c r="A123" s="67" t="s">
        <v>51</v>
      </c>
      <c r="B123" s="67" t="s">
        <v>312</v>
      </c>
      <c r="C123" s="101"/>
      <c r="D123" s="101"/>
      <c r="E123" s="101">
        <f>IF(Registrations[[#This Row],[Player 2]]="",Registrations[[#This Row],[Player 1]],Registrations[[#This Row],[Player 1]]&amp;" / "&amp;Registrations[[#This Row],[Player 2]])</f>
        <v>0</v>
      </c>
      <c r="F123" s="101"/>
      <c r="G123" s="101"/>
      <c r="H123" s="101"/>
    </row>
    <row r="124" spans="1:8" hidden="1" x14ac:dyDescent="0.35">
      <c r="A124" s="67" t="s">
        <v>51</v>
      </c>
      <c r="B124" s="67" t="s">
        <v>311</v>
      </c>
      <c r="C124" s="101"/>
      <c r="D124" s="101"/>
      <c r="E124" s="101">
        <f>IF(Registrations[[#This Row],[Player 2]]="",Registrations[[#This Row],[Player 1]],Registrations[[#This Row],[Player 1]]&amp;" / "&amp;Registrations[[#This Row],[Player 2]])</f>
        <v>0</v>
      </c>
      <c r="F124" s="101"/>
      <c r="G124" s="101"/>
      <c r="H124" s="101"/>
    </row>
    <row r="125" spans="1:8" hidden="1" x14ac:dyDescent="0.35">
      <c r="A125" s="67" t="s">
        <v>51</v>
      </c>
      <c r="B125" s="67" t="s">
        <v>310</v>
      </c>
      <c r="C125" s="101"/>
      <c r="D125" s="101"/>
      <c r="E125" s="101">
        <f>IF(Registrations[[#This Row],[Player 2]]="",Registrations[[#This Row],[Player 1]],Registrations[[#This Row],[Player 1]]&amp;" / "&amp;Registrations[[#This Row],[Player 2]])</f>
        <v>0</v>
      </c>
      <c r="F125" s="101"/>
      <c r="G125" s="101"/>
      <c r="H125" s="101"/>
    </row>
    <row r="126" spans="1:8" hidden="1" x14ac:dyDescent="0.35">
      <c r="A126" s="67" t="s">
        <v>51</v>
      </c>
      <c r="B126" s="67" t="s">
        <v>309</v>
      </c>
      <c r="C126" s="101"/>
      <c r="D126" s="101"/>
      <c r="E126" s="101">
        <f>IF(Registrations[[#This Row],[Player 2]]="",Registrations[[#This Row],[Player 1]],Registrations[[#This Row],[Player 1]]&amp;" / "&amp;Registrations[[#This Row],[Player 2]])</f>
        <v>0</v>
      </c>
      <c r="F126" s="101"/>
      <c r="G126" s="101"/>
      <c r="H126" s="101"/>
    </row>
    <row r="127" spans="1:8" hidden="1" x14ac:dyDescent="0.35">
      <c r="A127" s="67" t="s">
        <v>51</v>
      </c>
      <c r="B127" s="67" t="s">
        <v>308</v>
      </c>
      <c r="C127" s="101"/>
      <c r="D127" s="101"/>
      <c r="E127" s="101">
        <f>IF(Registrations[[#This Row],[Player 2]]="",Registrations[[#This Row],[Player 1]],Registrations[[#This Row],[Player 1]]&amp;" / "&amp;Registrations[[#This Row],[Player 2]])</f>
        <v>0</v>
      </c>
      <c r="F127" s="101"/>
      <c r="G127" s="101"/>
      <c r="H127" s="101"/>
    </row>
    <row r="128" spans="1:8" hidden="1" x14ac:dyDescent="0.35">
      <c r="A128" s="67" t="s">
        <v>51</v>
      </c>
      <c r="B128" s="67" t="s">
        <v>307</v>
      </c>
      <c r="C128" s="101"/>
      <c r="D128" s="101"/>
      <c r="E128" s="101">
        <f>IF(Registrations[[#This Row],[Player 2]]="",Registrations[[#This Row],[Player 1]],Registrations[[#This Row],[Player 1]]&amp;" / "&amp;Registrations[[#This Row],[Player 2]])</f>
        <v>0</v>
      </c>
      <c r="F128" s="101"/>
      <c r="G128" s="101"/>
      <c r="H128" s="101"/>
    </row>
    <row r="129" spans="1:8" hidden="1" x14ac:dyDescent="0.35">
      <c r="A129" s="67" t="s">
        <v>51</v>
      </c>
      <c r="B129" s="67" t="s">
        <v>306</v>
      </c>
      <c r="C129" s="101"/>
      <c r="D129" s="101"/>
      <c r="E129" s="101">
        <f>IF(Registrations[[#This Row],[Player 2]]="",Registrations[[#This Row],[Player 1]],Registrations[[#This Row],[Player 1]]&amp;" / "&amp;Registrations[[#This Row],[Player 2]])</f>
        <v>0</v>
      </c>
      <c r="F129" s="101"/>
      <c r="G129" s="101"/>
      <c r="H129" s="101"/>
    </row>
    <row r="130" spans="1:8" hidden="1" x14ac:dyDescent="0.35">
      <c r="A130" s="67" t="s">
        <v>51</v>
      </c>
      <c r="B130" s="67" t="s">
        <v>305</v>
      </c>
      <c r="C130" s="101"/>
      <c r="D130" s="101"/>
      <c r="E130" s="101">
        <f>IF(Registrations[[#This Row],[Player 2]]="",Registrations[[#This Row],[Player 1]],Registrations[[#This Row],[Player 1]]&amp;" / "&amp;Registrations[[#This Row],[Player 2]])</f>
        <v>0</v>
      </c>
      <c r="F130" s="101"/>
      <c r="G130" s="101"/>
      <c r="H130" s="101"/>
    </row>
    <row r="131" spans="1:8" hidden="1" x14ac:dyDescent="0.35">
      <c r="A131" s="67" t="s">
        <v>51</v>
      </c>
      <c r="B131" s="67" t="s">
        <v>304</v>
      </c>
      <c r="C131" s="101"/>
      <c r="D131" s="101"/>
      <c r="E131" s="101">
        <f>IF(Registrations[[#This Row],[Player 2]]="",Registrations[[#This Row],[Player 1]],Registrations[[#This Row],[Player 1]]&amp;" / "&amp;Registrations[[#This Row],[Player 2]])</f>
        <v>0</v>
      </c>
      <c r="F131" s="101"/>
      <c r="G131" s="101"/>
      <c r="H131" s="101"/>
    </row>
    <row r="132" spans="1:8" hidden="1" x14ac:dyDescent="0.35">
      <c r="A132" s="67" t="s">
        <v>51</v>
      </c>
      <c r="B132" s="67" t="s">
        <v>303</v>
      </c>
      <c r="C132" s="101"/>
      <c r="D132" s="101"/>
      <c r="E132" s="101">
        <f>IF(Registrations[[#This Row],[Player 2]]="",Registrations[[#This Row],[Player 1]],Registrations[[#This Row],[Player 1]]&amp;" / "&amp;Registrations[[#This Row],[Player 2]])</f>
        <v>0</v>
      </c>
      <c r="F132" s="101"/>
      <c r="G132" s="101"/>
      <c r="H132" s="101"/>
    </row>
    <row r="133" spans="1:8" hidden="1" x14ac:dyDescent="0.35">
      <c r="A133" s="67" t="s">
        <v>51</v>
      </c>
      <c r="B133" s="67" t="s">
        <v>302</v>
      </c>
      <c r="C133" s="101"/>
      <c r="D133" s="101"/>
      <c r="E133" s="101">
        <f>IF(Registrations[[#This Row],[Player 2]]="",Registrations[[#This Row],[Player 1]],Registrations[[#This Row],[Player 1]]&amp;" / "&amp;Registrations[[#This Row],[Player 2]])</f>
        <v>0</v>
      </c>
      <c r="F133" s="101"/>
      <c r="G133" s="101"/>
      <c r="H133" s="101"/>
    </row>
    <row r="134" spans="1:8" hidden="1" x14ac:dyDescent="0.35">
      <c r="A134" s="67" t="s">
        <v>51</v>
      </c>
      <c r="B134" s="67" t="s">
        <v>301</v>
      </c>
      <c r="C134" s="101"/>
      <c r="D134" s="101"/>
      <c r="E134" s="101">
        <f>IF(Registrations[[#This Row],[Player 2]]="",Registrations[[#This Row],[Player 1]],Registrations[[#This Row],[Player 1]]&amp;" / "&amp;Registrations[[#This Row],[Player 2]])</f>
        <v>0</v>
      </c>
      <c r="F134" s="101"/>
      <c r="G134" s="101"/>
      <c r="H134" s="101"/>
    </row>
    <row r="135" spans="1:8" hidden="1" x14ac:dyDescent="0.35">
      <c r="A135" s="67" t="s">
        <v>51</v>
      </c>
      <c r="B135" s="67" t="s">
        <v>300</v>
      </c>
      <c r="C135" s="101"/>
      <c r="D135" s="101"/>
      <c r="E135" s="101">
        <f>IF(Registrations[[#This Row],[Player 2]]="",Registrations[[#This Row],[Player 1]],Registrations[[#This Row],[Player 1]]&amp;" / "&amp;Registrations[[#This Row],[Player 2]])</f>
        <v>0</v>
      </c>
      <c r="F135" s="101"/>
      <c r="G135" s="101"/>
      <c r="H135" s="101"/>
    </row>
    <row r="136" spans="1:8" hidden="1" x14ac:dyDescent="0.35">
      <c r="A136" s="67" t="s">
        <v>51</v>
      </c>
      <c r="B136" s="67" t="s">
        <v>299</v>
      </c>
      <c r="C136" s="101"/>
      <c r="D136" s="101"/>
      <c r="E136" s="101">
        <f>IF(Registrations[[#This Row],[Player 2]]="",Registrations[[#This Row],[Player 1]],Registrations[[#This Row],[Player 1]]&amp;" / "&amp;Registrations[[#This Row],[Player 2]])</f>
        <v>0</v>
      </c>
      <c r="F136" s="101"/>
      <c r="G136" s="101"/>
      <c r="H136" s="101"/>
    </row>
    <row r="137" spans="1:8" hidden="1" x14ac:dyDescent="0.35">
      <c r="A137" s="67" t="s">
        <v>51</v>
      </c>
      <c r="B137" s="67" t="s">
        <v>298</v>
      </c>
      <c r="C137" s="101"/>
      <c r="D137" s="101"/>
      <c r="E137" s="101">
        <f>IF(Registrations[[#This Row],[Player 2]]="",Registrations[[#This Row],[Player 1]],Registrations[[#This Row],[Player 1]]&amp;" / "&amp;Registrations[[#This Row],[Player 2]])</f>
        <v>0</v>
      </c>
      <c r="F137" s="101"/>
      <c r="G137" s="101"/>
      <c r="H137" s="101"/>
    </row>
    <row r="138" spans="1:8" hidden="1" x14ac:dyDescent="0.35">
      <c r="A138" s="67" t="s">
        <v>51</v>
      </c>
      <c r="B138" s="67" t="s">
        <v>297</v>
      </c>
      <c r="C138" s="101"/>
      <c r="D138" s="101"/>
      <c r="E138" s="101">
        <f>IF(Registrations[[#This Row],[Player 2]]="",Registrations[[#This Row],[Player 1]],Registrations[[#This Row],[Player 1]]&amp;" / "&amp;Registrations[[#This Row],[Player 2]])</f>
        <v>0</v>
      </c>
      <c r="F138" s="101"/>
      <c r="G138" s="101"/>
      <c r="H138" s="101"/>
    </row>
    <row r="139" spans="1:8" hidden="1" x14ac:dyDescent="0.35">
      <c r="A139" s="67" t="s">
        <v>51</v>
      </c>
      <c r="B139" s="67" t="s">
        <v>296</v>
      </c>
      <c r="C139" s="101"/>
      <c r="D139" s="101"/>
      <c r="E139" s="101">
        <f>IF(Registrations[[#This Row],[Player 2]]="",Registrations[[#This Row],[Player 1]],Registrations[[#This Row],[Player 1]]&amp;" / "&amp;Registrations[[#This Row],[Player 2]])</f>
        <v>0</v>
      </c>
      <c r="F139" s="101"/>
      <c r="G139" s="101"/>
      <c r="H139" s="101"/>
    </row>
    <row r="140" spans="1:8" hidden="1" x14ac:dyDescent="0.35">
      <c r="A140" s="67" t="s">
        <v>51</v>
      </c>
      <c r="B140" s="67" t="s">
        <v>295</v>
      </c>
      <c r="C140" s="101"/>
      <c r="D140" s="101"/>
      <c r="E140" s="101">
        <f>IF(Registrations[[#This Row],[Player 2]]="",Registrations[[#This Row],[Player 1]],Registrations[[#This Row],[Player 1]]&amp;" / "&amp;Registrations[[#This Row],[Player 2]])</f>
        <v>0</v>
      </c>
      <c r="F140" s="101"/>
      <c r="G140" s="101"/>
      <c r="H140" s="101"/>
    </row>
    <row r="141" spans="1:8" hidden="1" x14ac:dyDescent="0.35">
      <c r="A141" s="67" t="s">
        <v>51</v>
      </c>
      <c r="B141" s="67" t="s">
        <v>294</v>
      </c>
      <c r="C141" s="101"/>
      <c r="D141" s="101"/>
      <c r="E141" s="101">
        <f>IF(Registrations[[#This Row],[Player 2]]="",Registrations[[#This Row],[Player 1]],Registrations[[#This Row],[Player 1]]&amp;" / "&amp;Registrations[[#This Row],[Player 2]])</f>
        <v>0</v>
      </c>
      <c r="F141" s="101"/>
      <c r="G141" s="101"/>
      <c r="H141" s="101"/>
    </row>
    <row r="142" spans="1:8" hidden="1" x14ac:dyDescent="0.35">
      <c r="A142" s="67" t="s">
        <v>51</v>
      </c>
      <c r="B142" s="67" t="s">
        <v>293</v>
      </c>
      <c r="C142" s="101"/>
      <c r="D142" s="101"/>
      <c r="E142" s="101">
        <f>IF(Registrations[[#This Row],[Player 2]]="",Registrations[[#This Row],[Player 1]],Registrations[[#This Row],[Player 1]]&amp;" / "&amp;Registrations[[#This Row],[Player 2]])</f>
        <v>0</v>
      </c>
      <c r="F142" s="101"/>
      <c r="G142" s="101"/>
      <c r="H142" s="101"/>
    </row>
    <row r="143" spans="1:8" hidden="1" x14ac:dyDescent="0.35">
      <c r="A143" s="67" t="s">
        <v>51</v>
      </c>
      <c r="B143" s="67" t="s">
        <v>292</v>
      </c>
      <c r="C143" s="101"/>
      <c r="D143" s="101"/>
      <c r="E143" s="101">
        <f>IF(Registrations[[#This Row],[Player 2]]="",Registrations[[#This Row],[Player 1]],Registrations[[#This Row],[Player 1]]&amp;" / "&amp;Registrations[[#This Row],[Player 2]])</f>
        <v>0</v>
      </c>
      <c r="F143" s="101"/>
      <c r="G143" s="101"/>
      <c r="H143" s="101"/>
    </row>
    <row r="144" spans="1:8" hidden="1" x14ac:dyDescent="0.35">
      <c r="A144" s="67" t="s">
        <v>52</v>
      </c>
      <c r="B144" s="67" t="s">
        <v>291</v>
      </c>
      <c r="C144" s="101" t="s">
        <v>469</v>
      </c>
      <c r="D144" s="101" t="s">
        <v>480</v>
      </c>
      <c r="E144" s="101" t="str">
        <f>IF(Registrations[[#This Row],[Player 2]]="",Registrations[[#This Row],[Player 1]],Registrations[[#This Row],[Player 1]]&amp;" / "&amp;Registrations[[#This Row],[Player 2]])</f>
        <v>Sanjay Gatti / Prabhakar Ghadge</v>
      </c>
      <c r="F144" s="101"/>
      <c r="G144" s="101"/>
      <c r="H144" s="101"/>
    </row>
    <row r="145" spans="1:8" hidden="1" x14ac:dyDescent="0.35">
      <c r="A145" s="67" t="s">
        <v>52</v>
      </c>
      <c r="B145" s="67" t="s">
        <v>290</v>
      </c>
      <c r="C145" s="101" t="s">
        <v>506</v>
      </c>
      <c r="D145" s="101" t="s">
        <v>507</v>
      </c>
      <c r="E145" s="101" t="str">
        <f>IF(Registrations[[#This Row],[Player 2]]="",Registrations[[#This Row],[Player 1]],Registrations[[#This Row],[Player 1]]&amp;" / "&amp;Registrations[[#This Row],[Player 2]])</f>
        <v>Yash Salvi / Chaitanya Hirlekar</v>
      </c>
      <c r="F145" s="101">
        <v>606706698051</v>
      </c>
      <c r="G145" s="101" t="s">
        <v>508</v>
      </c>
      <c r="H145" s="101" t="s">
        <v>509</v>
      </c>
    </row>
    <row r="146" spans="1:8" hidden="1" x14ac:dyDescent="0.35">
      <c r="A146" s="67" t="s">
        <v>52</v>
      </c>
      <c r="B146" s="67" t="s">
        <v>289</v>
      </c>
      <c r="C146" s="101"/>
      <c r="D146" s="101"/>
      <c r="E146" s="101">
        <f>IF(Registrations[[#This Row],[Player 2]]="",Registrations[[#This Row],[Player 1]],Registrations[[#This Row],[Player 1]]&amp;" / "&amp;Registrations[[#This Row],[Player 2]])</f>
        <v>0</v>
      </c>
      <c r="F146" s="101"/>
      <c r="G146" s="101"/>
      <c r="H146" s="101"/>
    </row>
    <row r="147" spans="1:8" hidden="1" x14ac:dyDescent="0.35">
      <c r="A147" s="67" t="s">
        <v>52</v>
      </c>
      <c r="B147" s="67" t="s">
        <v>288</v>
      </c>
      <c r="C147" s="101"/>
      <c r="D147" s="101"/>
      <c r="E147" s="101">
        <f>IF(Registrations[[#This Row],[Player 2]]="",Registrations[[#This Row],[Player 1]],Registrations[[#This Row],[Player 1]]&amp;" / "&amp;Registrations[[#This Row],[Player 2]])</f>
        <v>0</v>
      </c>
      <c r="F147" s="101"/>
      <c r="G147" s="101"/>
      <c r="H147" s="101"/>
    </row>
    <row r="148" spans="1:8" hidden="1" x14ac:dyDescent="0.35">
      <c r="A148" s="67" t="s">
        <v>52</v>
      </c>
      <c r="B148" s="67" t="s">
        <v>287</v>
      </c>
      <c r="C148" s="101"/>
      <c r="D148" s="101"/>
      <c r="E148" s="101">
        <f>IF(Registrations[[#This Row],[Player 2]]="",Registrations[[#This Row],[Player 1]],Registrations[[#This Row],[Player 1]]&amp;" / "&amp;Registrations[[#This Row],[Player 2]])</f>
        <v>0</v>
      </c>
      <c r="F148" s="101"/>
      <c r="G148" s="101"/>
      <c r="H148" s="101"/>
    </row>
    <row r="149" spans="1:8" hidden="1" x14ac:dyDescent="0.35">
      <c r="A149" s="67" t="s">
        <v>52</v>
      </c>
      <c r="B149" s="67" t="s">
        <v>286</v>
      </c>
      <c r="C149" s="101"/>
      <c r="D149" s="101"/>
      <c r="E149" s="101">
        <f>IF(Registrations[[#This Row],[Player 2]]="",Registrations[[#This Row],[Player 1]],Registrations[[#This Row],[Player 1]]&amp;" / "&amp;Registrations[[#This Row],[Player 2]])</f>
        <v>0</v>
      </c>
      <c r="F149" s="101"/>
      <c r="G149" s="101"/>
      <c r="H149" s="101"/>
    </row>
    <row r="150" spans="1:8" hidden="1" x14ac:dyDescent="0.35">
      <c r="A150" s="67" t="s">
        <v>52</v>
      </c>
      <c r="B150" s="67" t="s">
        <v>285</v>
      </c>
      <c r="C150" s="101"/>
      <c r="D150" s="101"/>
      <c r="E150" s="101">
        <f>IF(Registrations[[#This Row],[Player 2]]="",Registrations[[#This Row],[Player 1]],Registrations[[#This Row],[Player 1]]&amp;" / "&amp;Registrations[[#This Row],[Player 2]])</f>
        <v>0</v>
      </c>
      <c r="F150" s="101"/>
      <c r="G150" s="101"/>
      <c r="H150" s="101"/>
    </row>
    <row r="151" spans="1:8" hidden="1" x14ac:dyDescent="0.35">
      <c r="A151" s="67" t="s">
        <v>52</v>
      </c>
      <c r="B151" s="67" t="s">
        <v>284</v>
      </c>
      <c r="C151" s="101"/>
      <c r="D151" s="101"/>
      <c r="E151" s="101">
        <f>IF(Registrations[[#This Row],[Player 2]]="",Registrations[[#This Row],[Player 1]],Registrations[[#This Row],[Player 1]]&amp;" / "&amp;Registrations[[#This Row],[Player 2]])</f>
        <v>0</v>
      </c>
      <c r="F151" s="101"/>
      <c r="G151" s="101"/>
      <c r="H151" s="101"/>
    </row>
    <row r="152" spans="1:8" hidden="1" x14ac:dyDescent="0.35">
      <c r="A152" s="67" t="s">
        <v>52</v>
      </c>
      <c r="B152" s="67" t="s">
        <v>283</v>
      </c>
      <c r="C152" s="101"/>
      <c r="D152" s="101"/>
      <c r="E152" s="101">
        <f>IF(Registrations[[#This Row],[Player 2]]="",Registrations[[#This Row],[Player 1]],Registrations[[#This Row],[Player 1]]&amp;" / "&amp;Registrations[[#This Row],[Player 2]])</f>
        <v>0</v>
      </c>
      <c r="F152" s="101"/>
      <c r="G152" s="101"/>
      <c r="H152" s="101"/>
    </row>
    <row r="153" spans="1:8" hidden="1" x14ac:dyDescent="0.35">
      <c r="A153" s="67" t="s">
        <v>52</v>
      </c>
      <c r="B153" s="67" t="s">
        <v>282</v>
      </c>
      <c r="C153" s="101"/>
      <c r="D153" s="101"/>
      <c r="E153" s="101">
        <f>IF(Registrations[[#This Row],[Player 2]]="",Registrations[[#This Row],[Player 1]],Registrations[[#This Row],[Player 1]]&amp;" / "&amp;Registrations[[#This Row],[Player 2]])</f>
        <v>0</v>
      </c>
      <c r="F153" s="101"/>
      <c r="G153" s="101"/>
      <c r="H153" s="101"/>
    </row>
    <row r="154" spans="1:8" hidden="1" x14ac:dyDescent="0.35">
      <c r="A154" s="67" t="s">
        <v>52</v>
      </c>
      <c r="B154" s="67" t="s">
        <v>281</v>
      </c>
      <c r="C154" s="101"/>
      <c r="D154" s="101"/>
      <c r="E154" s="101">
        <f>IF(Registrations[[#This Row],[Player 2]]="",Registrations[[#This Row],[Player 1]],Registrations[[#This Row],[Player 1]]&amp;" / "&amp;Registrations[[#This Row],[Player 2]])</f>
        <v>0</v>
      </c>
      <c r="F154" s="101"/>
      <c r="G154" s="101"/>
      <c r="H154" s="101"/>
    </row>
    <row r="155" spans="1:8" hidden="1" x14ac:dyDescent="0.35">
      <c r="A155" s="67" t="s">
        <v>52</v>
      </c>
      <c r="B155" s="67" t="s">
        <v>280</v>
      </c>
      <c r="C155" s="101"/>
      <c r="D155" s="101"/>
      <c r="E155" s="101">
        <f>IF(Registrations[[#This Row],[Player 2]]="",Registrations[[#This Row],[Player 1]],Registrations[[#This Row],[Player 1]]&amp;" / "&amp;Registrations[[#This Row],[Player 2]])</f>
        <v>0</v>
      </c>
      <c r="F155" s="101"/>
      <c r="G155" s="101"/>
      <c r="H155" s="101"/>
    </row>
    <row r="156" spans="1:8" hidden="1" x14ac:dyDescent="0.35">
      <c r="A156" s="67" t="s">
        <v>52</v>
      </c>
      <c r="B156" s="67" t="s">
        <v>279</v>
      </c>
      <c r="C156" s="101"/>
      <c r="D156" s="101"/>
      <c r="E156" s="101">
        <f>IF(Registrations[[#This Row],[Player 2]]="",Registrations[[#This Row],[Player 1]],Registrations[[#This Row],[Player 1]]&amp;" / "&amp;Registrations[[#This Row],[Player 2]])</f>
        <v>0</v>
      </c>
      <c r="F156" s="101"/>
      <c r="G156" s="101"/>
      <c r="H156" s="101"/>
    </row>
    <row r="157" spans="1:8" hidden="1" x14ac:dyDescent="0.35">
      <c r="A157" s="67" t="s">
        <v>52</v>
      </c>
      <c r="B157" s="67" t="s">
        <v>278</v>
      </c>
      <c r="C157" s="101"/>
      <c r="D157" s="101"/>
      <c r="E157" s="101">
        <f>IF(Registrations[[#This Row],[Player 2]]="",Registrations[[#This Row],[Player 1]],Registrations[[#This Row],[Player 1]]&amp;" / "&amp;Registrations[[#This Row],[Player 2]])</f>
        <v>0</v>
      </c>
      <c r="F157" s="101"/>
      <c r="G157" s="101"/>
      <c r="H157" s="101"/>
    </row>
    <row r="158" spans="1:8" hidden="1" x14ac:dyDescent="0.35">
      <c r="A158" s="67" t="s">
        <v>52</v>
      </c>
      <c r="B158" s="67" t="s">
        <v>277</v>
      </c>
      <c r="C158" s="101"/>
      <c r="D158" s="101"/>
      <c r="E158" s="101">
        <f>IF(Registrations[[#This Row],[Player 2]]="",Registrations[[#This Row],[Player 1]],Registrations[[#This Row],[Player 1]]&amp;" / "&amp;Registrations[[#This Row],[Player 2]])</f>
        <v>0</v>
      </c>
      <c r="F158" s="101"/>
      <c r="G158" s="101"/>
      <c r="H158" s="101"/>
    </row>
    <row r="159" spans="1:8" hidden="1" x14ac:dyDescent="0.35">
      <c r="A159" s="67" t="s">
        <v>52</v>
      </c>
      <c r="B159" s="67" t="s">
        <v>276</v>
      </c>
      <c r="C159" s="101"/>
      <c r="D159" s="101"/>
      <c r="E159" s="101">
        <f>IF(Registrations[[#This Row],[Player 2]]="",Registrations[[#This Row],[Player 1]],Registrations[[#This Row],[Player 1]]&amp;" / "&amp;Registrations[[#This Row],[Player 2]])</f>
        <v>0</v>
      </c>
      <c r="F159" s="101"/>
      <c r="G159" s="101"/>
      <c r="H159" s="101"/>
    </row>
    <row r="160" spans="1:8" hidden="1" x14ac:dyDescent="0.35">
      <c r="A160" s="67" t="s">
        <v>52</v>
      </c>
      <c r="B160" s="67" t="s">
        <v>275</v>
      </c>
      <c r="C160" s="101"/>
      <c r="D160" s="101"/>
      <c r="E160" s="101">
        <f>IF(Registrations[[#This Row],[Player 2]]="",Registrations[[#This Row],[Player 1]],Registrations[[#This Row],[Player 1]]&amp;" / "&amp;Registrations[[#This Row],[Player 2]])</f>
        <v>0</v>
      </c>
      <c r="F160" s="101"/>
      <c r="G160" s="101"/>
      <c r="H160" s="101"/>
    </row>
    <row r="161" spans="1:8" hidden="1" x14ac:dyDescent="0.35">
      <c r="A161" s="67" t="s">
        <v>52</v>
      </c>
      <c r="B161" s="67" t="s">
        <v>274</v>
      </c>
      <c r="C161" s="101"/>
      <c r="D161" s="101"/>
      <c r="E161" s="101">
        <f>IF(Registrations[[#This Row],[Player 2]]="",Registrations[[#This Row],[Player 1]],Registrations[[#This Row],[Player 1]]&amp;" / "&amp;Registrations[[#This Row],[Player 2]])</f>
        <v>0</v>
      </c>
      <c r="F161" s="101"/>
      <c r="G161" s="101"/>
      <c r="H161" s="101"/>
    </row>
    <row r="162" spans="1:8" hidden="1" x14ac:dyDescent="0.35">
      <c r="A162" s="67" t="s">
        <v>52</v>
      </c>
      <c r="B162" s="67" t="s">
        <v>273</v>
      </c>
      <c r="C162" s="101"/>
      <c r="D162" s="101"/>
      <c r="E162" s="101">
        <f>IF(Registrations[[#This Row],[Player 2]]="",Registrations[[#This Row],[Player 1]],Registrations[[#This Row],[Player 1]]&amp;" / "&amp;Registrations[[#This Row],[Player 2]])</f>
        <v>0</v>
      </c>
      <c r="F162" s="101"/>
      <c r="G162" s="101"/>
      <c r="H162" s="101"/>
    </row>
    <row r="163" spans="1:8" hidden="1" x14ac:dyDescent="0.35">
      <c r="A163" s="67" t="s">
        <v>52</v>
      </c>
      <c r="B163" s="67" t="s">
        <v>272</v>
      </c>
      <c r="C163" s="101"/>
      <c r="D163" s="101"/>
      <c r="E163" s="101">
        <f>IF(Registrations[[#This Row],[Player 2]]="",Registrations[[#This Row],[Player 1]],Registrations[[#This Row],[Player 1]]&amp;" / "&amp;Registrations[[#This Row],[Player 2]])</f>
        <v>0</v>
      </c>
      <c r="F163" s="101"/>
      <c r="G163" s="101"/>
      <c r="H163" s="101"/>
    </row>
    <row r="164" spans="1:8" hidden="1" x14ac:dyDescent="0.35">
      <c r="A164" s="67" t="s">
        <v>52</v>
      </c>
      <c r="B164" s="67" t="s">
        <v>271</v>
      </c>
      <c r="C164" s="101"/>
      <c r="D164" s="101"/>
      <c r="E164" s="101">
        <f>IF(Registrations[[#This Row],[Player 2]]="",Registrations[[#This Row],[Player 1]],Registrations[[#This Row],[Player 1]]&amp;" / "&amp;Registrations[[#This Row],[Player 2]])</f>
        <v>0</v>
      </c>
      <c r="F164" s="101"/>
      <c r="G164" s="101"/>
      <c r="H164" s="101"/>
    </row>
    <row r="165" spans="1:8" hidden="1" x14ac:dyDescent="0.35">
      <c r="A165" s="67" t="s">
        <v>52</v>
      </c>
      <c r="B165" s="67" t="s">
        <v>270</v>
      </c>
      <c r="C165" s="101"/>
      <c r="D165" s="101"/>
      <c r="E165" s="101">
        <f>IF(Registrations[[#This Row],[Player 2]]="",Registrations[[#This Row],[Player 1]],Registrations[[#This Row],[Player 1]]&amp;" / "&amp;Registrations[[#This Row],[Player 2]])</f>
        <v>0</v>
      </c>
      <c r="F165" s="101"/>
      <c r="G165" s="101"/>
      <c r="H165" s="101"/>
    </row>
    <row r="166" spans="1:8" hidden="1" x14ac:dyDescent="0.35">
      <c r="A166" s="67" t="s">
        <v>52</v>
      </c>
      <c r="B166" s="67" t="s">
        <v>269</v>
      </c>
      <c r="C166" s="101"/>
      <c r="D166" s="101"/>
      <c r="E166" s="101">
        <f>IF(Registrations[[#This Row],[Player 2]]="",Registrations[[#This Row],[Player 1]],Registrations[[#This Row],[Player 1]]&amp;" / "&amp;Registrations[[#This Row],[Player 2]])</f>
        <v>0</v>
      </c>
      <c r="F166" s="101"/>
      <c r="G166" s="101"/>
      <c r="H166" s="101"/>
    </row>
    <row r="167" spans="1:8" hidden="1" x14ac:dyDescent="0.35">
      <c r="A167" s="67" t="s">
        <v>52</v>
      </c>
      <c r="B167" s="67" t="s">
        <v>268</v>
      </c>
      <c r="C167" s="101"/>
      <c r="D167" s="101"/>
      <c r="E167" s="101">
        <f>IF(Registrations[[#This Row],[Player 2]]="",Registrations[[#This Row],[Player 1]],Registrations[[#This Row],[Player 1]]&amp;" / "&amp;Registrations[[#This Row],[Player 2]])</f>
        <v>0</v>
      </c>
      <c r="F167" s="101"/>
      <c r="G167" s="101"/>
      <c r="H167" s="101"/>
    </row>
    <row r="168" spans="1:8" hidden="1" x14ac:dyDescent="0.35">
      <c r="A168" s="67" t="s">
        <v>52</v>
      </c>
      <c r="B168" s="67" t="s">
        <v>267</v>
      </c>
      <c r="C168" s="101"/>
      <c r="D168" s="101"/>
      <c r="E168" s="101">
        <f>IF(Registrations[[#This Row],[Player 2]]="",Registrations[[#This Row],[Player 1]],Registrations[[#This Row],[Player 1]]&amp;" / "&amp;Registrations[[#This Row],[Player 2]])</f>
        <v>0</v>
      </c>
      <c r="F168" s="101"/>
      <c r="G168" s="101"/>
      <c r="H168" s="101"/>
    </row>
    <row r="169" spans="1:8" hidden="1" x14ac:dyDescent="0.35">
      <c r="A169" s="67" t="s">
        <v>52</v>
      </c>
      <c r="B169" s="67" t="s">
        <v>266</v>
      </c>
      <c r="C169" s="101"/>
      <c r="D169" s="101"/>
      <c r="E169" s="101">
        <f>IF(Registrations[[#This Row],[Player 2]]="",Registrations[[#This Row],[Player 1]],Registrations[[#This Row],[Player 1]]&amp;" / "&amp;Registrations[[#This Row],[Player 2]])</f>
        <v>0</v>
      </c>
      <c r="F169" s="101"/>
      <c r="G169" s="101"/>
      <c r="H169" s="101"/>
    </row>
    <row r="170" spans="1:8" hidden="1" x14ac:dyDescent="0.35">
      <c r="A170" s="67" t="s">
        <v>52</v>
      </c>
      <c r="B170" s="67" t="s">
        <v>265</v>
      </c>
      <c r="C170" s="101"/>
      <c r="D170" s="101"/>
      <c r="E170" s="101">
        <f>IF(Registrations[[#This Row],[Player 2]]="",Registrations[[#This Row],[Player 1]],Registrations[[#This Row],[Player 1]]&amp;" / "&amp;Registrations[[#This Row],[Player 2]])</f>
        <v>0</v>
      </c>
      <c r="F170" s="101"/>
      <c r="G170" s="101"/>
      <c r="H170" s="101"/>
    </row>
    <row r="171" spans="1:8" hidden="1" x14ac:dyDescent="0.35">
      <c r="A171" s="67" t="s">
        <v>52</v>
      </c>
      <c r="B171" s="67" t="s">
        <v>264</v>
      </c>
      <c r="C171" s="101"/>
      <c r="D171" s="101"/>
      <c r="E171" s="101">
        <f>IF(Registrations[[#This Row],[Player 2]]="",Registrations[[#This Row],[Player 1]],Registrations[[#This Row],[Player 1]]&amp;" / "&amp;Registrations[[#This Row],[Player 2]])</f>
        <v>0</v>
      </c>
      <c r="F171" s="101"/>
      <c r="G171" s="101"/>
      <c r="H171" s="101"/>
    </row>
    <row r="172" spans="1:8" hidden="1" x14ac:dyDescent="0.35">
      <c r="A172" s="67" t="s">
        <v>52</v>
      </c>
      <c r="B172" s="67" t="s">
        <v>263</v>
      </c>
      <c r="C172" s="101"/>
      <c r="D172" s="101"/>
      <c r="E172" s="101">
        <f>IF(Registrations[[#This Row],[Player 2]]="",Registrations[[#This Row],[Player 1]],Registrations[[#This Row],[Player 1]]&amp;" / "&amp;Registrations[[#This Row],[Player 2]])</f>
        <v>0</v>
      </c>
      <c r="F172" s="101"/>
      <c r="G172" s="101"/>
      <c r="H172" s="101"/>
    </row>
    <row r="173" spans="1:8" hidden="1" x14ac:dyDescent="0.35">
      <c r="A173" s="67" t="s">
        <v>52</v>
      </c>
      <c r="B173" s="67" t="s">
        <v>262</v>
      </c>
      <c r="C173" s="101"/>
      <c r="D173" s="101"/>
      <c r="E173" s="101">
        <f>IF(Registrations[[#This Row],[Player 2]]="",Registrations[[#This Row],[Player 1]],Registrations[[#This Row],[Player 1]]&amp;" / "&amp;Registrations[[#This Row],[Player 2]])</f>
        <v>0</v>
      </c>
      <c r="F173" s="101"/>
      <c r="G173" s="101"/>
      <c r="H173" s="101"/>
    </row>
    <row r="174" spans="1:8" hidden="1" x14ac:dyDescent="0.35">
      <c r="A174" s="67" t="s">
        <v>52</v>
      </c>
      <c r="B174" s="67" t="s">
        <v>261</v>
      </c>
      <c r="C174" s="101"/>
      <c r="D174" s="101"/>
      <c r="E174" s="101">
        <f>IF(Registrations[[#This Row],[Player 2]]="",Registrations[[#This Row],[Player 1]],Registrations[[#This Row],[Player 1]]&amp;" / "&amp;Registrations[[#This Row],[Player 2]])</f>
        <v>0</v>
      </c>
      <c r="F174" s="101"/>
      <c r="G174" s="101"/>
      <c r="H174" s="101"/>
    </row>
    <row r="175" spans="1:8" hidden="1" x14ac:dyDescent="0.35">
      <c r="A175" s="67" t="s">
        <v>52</v>
      </c>
      <c r="B175" s="67" t="s">
        <v>260</v>
      </c>
      <c r="C175" s="101"/>
      <c r="D175" s="101"/>
      <c r="E175" s="101">
        <f>IF(Registrations[[#This Row],[Player 2]]="",Registrations[[#This Row],[Player 1]],Registrations[[#This Row],[Player 1]]&amp;" / "&amp;Registrations[[#This Row],[Player 2]])</f>
        <v>0</v>
      </c>
      <c r="F175" s="101"/>
      <c r="G175" s="101"/>
      <c r="H175" s="101"/>
    </row>
    <row r="176" spans="1:8" x14ac:dyDescent="0.35">
      <c r="A176" s="67" t="s">
        <v>53</v>
      </c>
      <c r="B176" s="67" t="s">
        <v>259</v>
      </c>
      <c r="C176" s="101" t="s">
        <v>179</v>
      </c>
      <c r="D176" s="101" t="s">
        <v>500</v>
      </c>
      <c r="E176" s="101" t="str">
        <f>IF(Registrations[[#This Row],[Player 2]]="",Registrations[[#This Row],[Player 1]],Registrations[[#This Row],[Player 1]]&amp;" / "&amp;Registrations[[#This Row],[Player 2]])</f>
        <v>Sachin Verma / Hema Thakkar</v>
      </c>
      <c r="F176" s="101">
        <v>606690035274</v>
      </c>
      <c r="G176" s="101"/>
      <c r="H176" s="101"/>
    </row>
    <row r="177" spans="1:8" x14ac:dyDescent="0.35">
      <c r="A177" s="67" t="s">
        <v>53</v>
      </c>
      <c r="B177" s="67" t="s">
        <v>258</v>
      </c>
      <c r="C177" s="101" t="s">
        <v>501</v>
      </c>
      <c r="D177" s="101" t="s">
        <v>200</v>
      </c>
      <c r="E177" s="101" t="str">
        <f>IF(Registrations[[#This Row],[Player 2]]="",Registrations[[#This Row],[Player 1]],Registrations[[#This Row],[Player 1]]&amp;" / "&amp;Registrations[[#This Row],[Player 2]])</f>
        <v>Amandeep Saini / Alisha Bhise</v>
      </c>
      <c r="F177" s="101">
        <v>606771993193</v>
      </c>
      <c r="G177" s="101" t="s">
        <v>504</v>
      </c>
      <c r="H177" s="101" t="s">
        <v>505</v>
      </c>
    </row>
    <row r="178" spans="1:8" x14ac:dyDescent="0.35">
      <c r="A178" s="67" t="s">
        <v>53</v>
      </c>
      <c r="B178" s="67" t="s">
        <v>257</v>
      </c>
      <c r="C178" s="101" t="s">
        <v>180</v>
      </c>
      <c r="D178" s="101" t="s">
        <v>198</v>
      </c>
      <c r="E178" s="101" t="str">
        <f>IF(Registrations[[#This Row],[Player 2]]="",Registrations[[#This Row],[Player 1]],Registrations[[#This Row],[Player 1]]&amp;" / "&amp;Registrations[[#This Row],[Player 2]])</f>
        <v>Nachiket Gogia / Purva Verma</v>
      </c>
      <c r="F178" s="101">
        <v>643491390309</v>
      </c>
      <c r="G178" s="101" t="s">
        <v>510</v>
      </c>
      <c r="H178" s="101" t="s">
        <v>511</v>
      </c>
    </row>
    <row r="179" spans="1:8" x14ac:dyDescent="0.35">
      <c r="A179" s="67" t="s">
        <v>53</v>
      </c>
      <c r="B179" s="67" t="s">
        <v>256</v>
      </c>
      <c r="C179" s="101"/>
      <c r="D179" s="101"/>
      <c r="E179" s="101">
        <f>IF(Registrations[[#This Row],[Player 2]]="",Registrations[[#This Row],[Player 1]],Registrations[[#This Row],[Player 1]]&amp;" / "&amp;Registrations[[#This Row],[Player 2]])</f>
        <v>0</v>
      </c>
      <c r="F179" s="101"/>
      <c r="G179" s="101"/>
      <c r="H179" s="101"/>
    </row>
    <row r="180" spans="1:8" x14ac:dyDescent="0.35">
      <c r="A180" s="67" t="s">
        <v>53</v>
      </c>
      <c r="B180" s="67" t="s">
        <v>255</v>
      </c>
      <c r="C180" s="101"/>
      <c r="D180" s="101"/>
      <c r="E180" s="101">
        <f>IF(Registrations[[#This Row],[Player 2]]="",Registrations[[#This Row],[Player 1]],Registrations[[#This Row],[Player 1]]&amp;" / "&amp;Registrations[[#This Row],[Player 2]])</f>
        <v>0</v>
      </c>
      <c r="F180" s="101"/>
      <c r="G180" s="101"/>
      <c r="H180" s="101"/>
    </row>
    <row r="181" spans="1:8" x14ac:dyDescent="0.35">
      <c r="A181" s="67" t="s">
        <v>53</v>
      </c>
      <c r="B181" s="67" t="s">
        <v>254</v>
      </c>
      <c r="C181" s="101"/>
      <c r="D181" s="101"/>
      <c r="E181" s="101">
        <f>IF(Registrations[[#This Row],[Player 2]]="",Registrations[[#This Row],[Player 1]],Registrations[[#This Row],[Player 1]]&amp;" / "&amp;Registrations[[#This Row],[Player 2]])</f>
        <v>0</v>
      </c>
      <c r="F181" s="101"/>
      <c r="G181" s="101"/>
      <c r="H181" s="101"/>
    </row>
    <row r="182" spans="1:8" x14ac:dyDescent="0.35">
      <c r="A182" s="67" t="s">
        <v>53</v>
      </c>
      <c r="B182" s="67" t="s">
        <v>253</v>
      </c>
      <c r="C182" s="101"/>
      <c r="D182" s="101"/>
      <c r="E182" s="101">
        <f>IF(Registrations[[#This Row],[Player 2]]="",Registrations[[#This Row],[Player 1]],Registrations[[#This Row],[Player 1]]&amp;" / "&amp;Registrations[[#This Row],[Player 2]])</f>
        <v>0</v>
      </c>
      <c r="F182" s="101"/>
      <c r="G182" s="101"/>
      <c r="H182" s="101"/>
    </row>
    <row r="183" spans="1:8" x14ac:dyDescent="0.35">
      <c r="A183" s="67" t="s">
        <v>53</v>
      </c>
      <c r="B183" s="67" t="s">
        <v>252</v>
      </c>
      <c r="C183" s="101"/>
      <c r="D183" s="101"/>
      <c r="E183" s="101">
        <f>IF(Registrations[[#This Row],[Player 2]]="",Registrations[[#This Row],[Player 1]],Registrations[[#This Row],[Player 1]]&amp;" / "&amp;Registrations[[#This Row],[Player 2]])</f>
        <v>0</v>
      </c>
      <c r="F183" s="101"/>
      <c r="G183" s="101"/>
      <c r="H183" s="101"/>
    </row>
    <row r="184" spans="1:8" x14ac:dyDescent="0.35">
      <c r="A184" s="67" t="s">
        <v>53</v>
      </c>
      <c r="B184" s="67" t="s">
        <v>251</v>
      </c>
      <c r="C184" s="101"/>
      <c r="D184" s="101"/>
      <c r="E184" s="101">
        <f>IF(Registrations[[#This Row],[Player 2]]="",Registrations[[#This Row],[Player 1]],Registrations[[#This Row],[Player 1]]&amp;" / "&amp;Registrations[[#This Row],[Player 2]])</f>
        <v>0</v>
      </c>
      <c r="F184" s="101"/>
      <c r="G184" s="101"/>
      <c r="H184" s="101"/>
    </row>
    <row r="185" spans="1:8" x14ac:dyDescent="0.35">
      <c r="A185" s="67" t="s">
        <v>53</v>
      </c>
      <c r="B185" s="67" t="s">
        <v>250</v>
      </c>
      <c r="C185" s="101"/>
      <c r="D185" s="101"/>
      <c r="E185" s="101">
        <f>IF(Registrations[[#This Row],[Player 2]]="",Registrations[[#This Row],[Player 1]],Registrations[[#This Row],[Player 1]]&amp;" / "&amp;Registrations[[#This Row],[Player 2]])</f>
        <v>0</v>
      </c>
      <c r="F185" s="101"/>
      <c r="G185" s="101"/>
      <c r="H185" s="101"/>
    </row>
    <row r="186" spans="1:8" x14ac:dyDescent="0.35">
      <c r="A186" s="67" t="s">
        <v>53</v>
      </c>
      <c r="B186" s="67" t="s">
        <v>249</v>
      </c>
      <c r="C186" s="101"/>
      <c r="D186" s="101"/>
      <c r="E186" s="101">
        <f>IF(Registrations[[#This Row],[Player 2]]="",Registrations[[#This Row],[Player 1]],Registrations[[#This Row],[Player 1]]&amp;" / "&amp;Registrations[[#This Row],[Player 2]])</f>
        <v>0</v>
      </c>
      <c r="F186" s="101"/>
      <c r="G186" s="101"/>
      <c r="H186" s="101"/>
    </row>
    <row r="187" spans="1:8" x14ac:dyDescent="0.35">
      <c r="A187" s="67" t="s">
        <v>53</v>
      </c>
      <c r="B187" s="67" t="s">
        <v>248</v>
      </c>
      <c r="C187" s="101"/>
      <c r="D187" s="101"/>
      <c r="E187" s="101">
        <f>IF(Registrations[[#This Row],[Player 2]]="",Registrations[[#This Row],[Player 1]],Registrations[[#This Row],[Player 1]]&amp;" / "&amp;Registrations[[#This Row],[Player 2]])</f>
        <v>0</v>
      </c>
      <c r="F187" s="101"/>
      <c r="G187" s="101"/>
      <c r="H187" s="101"/>
    </row>
    <row r="188" spans="1:8" x14ac:dyDescent="0.35">
      <c r="A188" s="67" t="s">
        <v>53</v>
      </c>
      <c r="B188" s="67" t="s">
        <v>247</v>
      </c>
      <c r="C188" s="101"/>
      <c r="D188" s="101"/>
      <c r="E188" s="101">
        <f>IF(Registrations[[#This Row],[Player 2]]="",Registrations[[#This Row],[Player 1]],Registrations[[#This Row],[Player 1]]&amp;" / "&amp;Registrations[[#This Row],[Player 2]])</f>
        <v>0</v>
      </c>
      <c r="F188" s="101"/>
      <c r="G188" s="101"/>
      <c r="H188" s="101"/>
    </row>
    <row r="189" spans="1:8" x14ac:dyDescent="0.35">
      <c r="A189" s="67" t="s">
        <v>53</v>
      </c>
      <c r="B189" s="67" t="s">
        <v>246</v>
      </c>
      <c r="C189" s="101"/>
      <c r="D189" s="101"/>
      <c r="E189" s="101">
        <f>IF(Registrations[[#This Row],[Player 2]]="",Registrations[[#This Row],[Player 1]],Registrations[[#This Row],[Player 1]]&amp;" / "&amp;Registrations[[#This Row],[Player 2]])</f>
        <v>0</v>
      </c>
      <c r="F189" s="101"/>
      <c r="G189" s="101"/>
      <c r="H189" s="101"/>
    </row>
    <row r="190" spans="1:8" x14ac:dyDescent="0.35">
      <c r="A190" s="67" t="s">
        <v>53</v>
      </c>
      <c r="B190" s="67" t="s">
        <v>245</v>
      </c>
      <c r="C190" s="101"/>
      <c r="D190" s="101"/>
      <c r="E190" s="101">
        <f>IF(Registrations[[#This Row],[Player 2]]="",Registrations[[#This Row],[Player 1]],Registrations[[#This Row],[Player 1]]&amp;" / "&amp;Registrations[[#This Row],[Player 2]])</f>
        <v>0</v>
      </c>
      <c r="F190" s="101"/>
      <c r="G190" s="101"/>
      <c r="H190" s="101"/>
    </row>
    <row r="191" spans="1:8" x14ac:dyDescent="0.35">
      <c r="A191" s="67" t="s">
        <v>53</v>
      </c>
      <c r="B191" s="67" t="s">
        <v>244</v>
      </c>
      <c r="C191" s="101"/>
      <c r="D191" s="101"/>
      <c r="E191" s="101">
        <f>IF(Registrations[[#This Row],[Player 2]]="",Registrations[[#This Row],[Player 1]],Registrations[[#This Row],[Player 1]]&amp;" / "&amp;Registrations[[#This Row],[Player 2]])</f>
        <v>0</v>
      </c>
      <c r="F191" s="101"/>
      <c r="G191" s="101"/>
      <c r="H191" s="101"/>
    </row>
    <row r="192" spans="1:8" x14ac:dyDescent="0.35">
      <c r="A192" s="67" t="s">
        <v>53</v>
      </c>
      <c r="B192" s="67" t="s">
        <v>243</v>
      </c>
      <c r="C192" s="101"/>
      <c r="D192" s="101"/>
      <c r="E192" s="101">
        <f>IF(Registrations[[#This Row],[Player 2]]="",Registrations[[#This Row],[Player 1]],Registrations[[#This Row],[Player 1]]&amp;" / "&amp;Registrations[[#This Row],[Player 2]])</f>
        <v>0</v>
      </c>
      <c r="F192" s="101"/>
      <c r="G192" s="101"/>
      <c r="H192" s="101"/>
    </row>
    <row r="193" spans="1:8" x14ac:dyDescent="0.35">
      <c r="A193" s="67" t="s">
        <v>53</v>
      </c>
      <c r="B193" s="67" t="s">
        <v>242</v>
      </c>
      <c r="C193" s="101"/>
      <c r="D193" s="101"/>
      <c r="E193" s="101">
        <f>IF(Registrations[[#This Row],[Player 2]]="",Registrations[[#This Row],[Player 1]],Registrations[[#This Row],[Player 1]]&amp;" / "&amp;Registrations[[#This Row],[Player 2]])</f>
        <v>0</v>
      </c>
      <c r="F193" s="101"/>
      <c r="G193" s="101"/>
      <c r="H193" s="101"/>
    </row>
    <row r="194" spans="1:8" x14ac:dyDescent="0.35">
      <c r="A194" s="67" t="s">
        <v>53</v>
      </c>
      <c r="B194" s="67" t="s">
        <v>241</v>
      </c>
      <c r="C194" s="101"/>
      <c r="D194" s="101"/>
      <c r="E194" s="101">
        <f>IF(Registrations[[#This Row],[Player 2]]="",Registrations[[#This Row],[Player 1]],Registrations[[#This Row],[Player 1]]&amp;" / "&amp;Registrations[[#This Row],[Player 2]])</f>
        <v>0</v>
      </c>
      <c r="F194" s="101"/>
      <c r="G194" s="101"/>
      <c r="H194" s="101"/>
    </row>
    <row r="195" spans="1:8" x14ac:dyDescent="0.35">
      <c r="A195" s="67" t="s">
        <v>53</v>
      </c>
      <c r="B195" s="67" t="s">
        <v>240</v>
      </c>
      <c r="C195" s="101"/>
      <c r="D195" s="101"/>
      <c r="E195" s="101">
        <f>IF(Registrations[[#This Row],[Player 2]]="",Registrations[[#This Row],[Player 1]],Registrations[[#This Row],[Player 1]]&amp;" / "&amp;Registrations[[#This Row],[Player 2]])</f>
        <v>0</v>
      </c>
      <c r="F195" s="101"/>
      <c r="G195" s="101"/>
      <c r="H195" s="101"/>
    </row>
    <row r="196" spans="1:8" x14ac:dyDescent="0.35">
      <c r="A196" s="67" t="s">
        <v>53</v>
      </c>
      <c r="B196" s="67" t="s">
        <v>239</v>
      </c>
      <c r="C196" s="101"/>
      <c r="D196" s="101"/>
      <c r="E196" s="101">
        <f>IF(Registrations[[#This Row],[Player 2]]="",Registrations[[#This Row],[Player 1]],Registrations[[#This Row],[Player 1]]&amp;" / "&amp;Registrations[[#This Row],[Player 2]])</f>
        <v>0</v>
      </c>
      <c r="F196" s="101"/>
      <c r="G196" s="101"/>
      <c r="H196" s="101"/>
    </row>
    <row r="197" spans="1:8" x14ac:dyDescent="0.35">
      <c r="A197" s="67" t="s">
        <v>53</v>
      </c>
      <c r="B197" s="67" t="s">
        <v>238</v>
      </c>
      <c r="C197" s="101"/>
      <c r="D197" s="101"/>
      <c r="E197" s="101">
        <f>IF(Registrations[[#This Row],[Player 2]]="",Registrations[[#This Row],[Player 1]],Registrations[[#This Row],[Player 1]]&amp;" / "&amp;Registrations[[#This Row],[Player 2]])</f>
        <v>0</v>
      </c>
      <c r="F197" s="101"/>
      <c r="G197" s="101"/>
      <c r="H197" s="101"/>
    </row>
    <row r="198" spans="1:8" x14ac:dyDescent="0.35">
      <c r="A198" s="67" t="s">
        <v>53</v>
      </c>
      <c r="B198" s="67" t="s">
        <v>237</v>
      </c>
      <c r="C198" s="101"/>
      <c r="D198" s="101"/>
      <c r="E198" s="101">
        <f>IF(Registrations[[#This Row],[Player 2]]="",Registrations[[#This Row],[Player 1]],Registrations[[#This Row],[Player 1]]&amp;" / "&amp;Registrations[[#This Row],[Player 2]])</f>
        <v>0</v>
      </c>
      <c r="F198" s="101"/>
      <c r="G198" s="101"/>
      <c r="H198" s="101"/>
    </row>
    <row r="199" spans="1:8" x14ac:dyDescent="0.35">
      <c r="A199" s="67" t="s">
        <v>53</v>
      </c>
      <c r="B199" s="67" t="s">
        <v>236</v>
      </c>
      <c r="C199" s="101"/>
      <c r="D199" s="101"/>
      <c r="E199" s="101">
        <f>IF(Registrations[[#This Row],[Player 2]]="",Registrations[[#This Row],[Player 1]],Registrations[[#This Row],[Player 1]]&amp;" / "&amp;Registrations[[#This Row],[Player 2]])</f>
        <v>0</v>
      </c>
      <c r="F199" s="101"/>
      <c r="G199" s="101"/>
      <c r="H199" s="101"/>
    </row>
    <row r="200" spans="1:8" hidden="1" x14ac:dyDescent="0.35">
      <c r="A200" s="67" t="s">
        <v>66</v>
      </c>
      <c r="B200" s="67" t="s">
        <v>235</v>
      </c>
      <c r="C200" s="101"/>
      <c r="D200" s="101"/>
      <c r="E200" s="101">
        <f>IF(Registrations[[#This Row],[Player 2]]="",Registrations[[#This Row],[Player 1]],Registrations[[#This Row],[Player 1]]&amp;" / "&amp;Registrations[[#This Row],[Player 2]])</f>
        <v>0</v>
      </c>
      <c r="F200" s="101"/>
      <c r="G200" s="101"/>
      <c r="H200" s="101"/>
    </row>
    <row r="201" spans="1:8" hidden="1" x14ac:dyDescent="0.35">
      <c r="A201" s="67" t="s">
        <v>66</v>
      </c>
      <c r="B201" s="67" t="s">
        <v>234</v>
      </c>
      <c r="C201" s="101"/>
      <c r="D201" s="101"/>
      <c r="E201" s="101">
        <f>IF(Registrations[[#This Row],[Player 2]]="",Registrations[[#This Row],[Player 1]],Registrations[[#This Row],[Player 1]]&amp;" / "&amp;Registrations[[#This Row],[Player 2]])</f>
        <v>0</v>
      </c>
      <c r="F201" s="101"/>
      <c r="G201" s="101"/>
      <c r="H201" s="101"/>
    </row>
    <row r="202" spans="1:8" hidden="1" x14ac:dyDescent="0.35">
      <c r="A202" s="67" t="s">
        <v>66</v>
      </c>
      <c r="B202" s="67" t="s">
        <v>233</v>
      </c>
      <c r="C202" s="101"/>
      <c r="D202" s="101"/>
      <c r="E202" s="101">
        <f>IF(Registrations[[#This Row],[Player 2]]="",Registrations[[#This Row],[Player 1]],Registrations[[#This Row],[Player 1]]&amp;" / "&amp;Registrations[[#This Row],[Player 2]])</f>
        <v>0</v>
      </c>
      <c r="F202" s="101"/>
      <c r="G202" s="101"/>
      <c r="H202" s="101"/>
    </row>
    <row r="203" spans="1:8" hidden="1" x14ac:dyDescent="0.35">
      <c r="A203" s="67" t="s">
        <v>66</v>
      </c>
      <c r="B203" s="67" t="s">
        <v>232</v>
      </c>
      <c r="C203" s="101"/>
      <c r="D203" s="101"/>
      <c r="E203" s="101">
        <f>IF(Registrations[[#This Row],[Player 2]]="",Registrations[[#This Row],[Player 1]],Registrations[[#This Row],[Player 1]]&amp;" / "&amp;Registrations[[#This Row],[Player 2]])</f>
        <v>0</v>
      </c>
      <c r="F203" s="101"/>
      <c r="G203" s="101"/>
      <c r="H203" s="101"/>
    </row>
    <row r="204" spans="1:8" hidden="1" x14ac:dyDescent="0.35">
      <c r="A204" s="67" t="s">
        <v>66</v>
      </c>
      <c r="B204" s="67" t="s">
        <v>231</v>
      </c>
      <c r="C204" s="101"/>
      <c r="D204" s="101"/>
      <c r="E204" s="101">
        <f>IF(Registrations[[#This Row],[Player 2]]="",Registrations[[#This Row],[Player 1]],Registrations[[#This Row],[Player 1]]&amp;" / "&amp;Registrations[[#This Row],[Player 2]])</f>
        <v>0</v>
      </c>
      <c r="F204" s="101"/>
      <c r="G204" s="101"/>
      <c r="H204" s="101"/>
    </row>
    <row r="205" spans="1:8" hidden="1" x14ac:dyDescent="0.35">
      <c r="A205" s="67" t="s">
        <v>66</v>
      </c>
      <c r="B205" s="67" t="s">
        <v>230</v>
      </c>
      <c r="C205" s="101"/>
      <c r="D205" s="101"/>
      <c r="E205" s="101">
        <f>IF(Registrations[[#This Row],[Player 2]]="",Registrations[[#This Row],[Player 1]],Registrations[[#This Row],[Player 1]]&amp;" / "&amp;Registrations[[#This Row],[Player 2]])</f>
        <v>0</v>
      </c>
      <c r="F205" s="101"/>
      <c r="G205" s="101"/>
      <c r="H205" s="101"/>
    </row>
    <row r="206" spans="1:8" hidden="1" x14ac:dyDescent="0.35">
      <c r="A206" s="67" t="s">
        <v>66</v>
      </c>
      <c r="B206" s="67" t="s">
        <v>229</v>
      </c>
      <c r="C206" s="101"/>
      <c r="D206" s="101"/>
      <c r="E206" s="101">
        <f>IF(Registrations[[#This Row],[Player 2]]="",Registrations[[#This Row],[Player 1]],Registrations[[#This Row],[Player 1]]&amp;" / "&amp;Registrations[[#This Row],[Player 2]])</f>
        <v>0</v>
      </c>
      <c r="F206" s="101"/>
      <c r="G206" s="101"/>
      <c r="H206" s="101"/>
    </row>
    <row r="207" spans="1:8" hidden="1" x14ac:dyDescent="0.35">
      <c r="A207" s="67" t="s">
        <v>66</v>
      </c>
      <c r="B207" s="67" t="s">
        <v>228</v>
      </c>
      <c r="C207" s="101"/>
      <c r="D207" s="101"/>
      <c r="E207" s="101">
        <f>IF(Registrations[[#This Row],[Player 2]]="",Registrations[[#This Row],[Player 1]],Registrations[[#This Row],[Player 1]]&amp;" / "&amp;Registrations[[#This Row],[Player 2]])</f>
        <v>0</v>
      </c>
      <c r="F207" s="101"/>
      <c r="G207" s="101"/>
      <c r="H207" s="101"/>
    </row>
    <row r="208" spans="1:8" hidden="1" x14ac:dyDescent="0.35">
      <c r="A208" s="67" t="s">
        <v>66</v>
      </c>
      <c r="B208" s="67" t="s">
        <v>227</v>
      </c>
      <c r="C208" s="101"/>
      <c r="D208" s="101"/>
      <c r="E208" s="101">
        <f>IF(Registrations[[#This Row],[Player 2]]="",Registrations[[#This Row],[Player 1]],Registrations[[#This Row],[Player 1]]&amp;" / "&amp;Registrations[[#This Row],[Player 2]])</f>
        <v>0</v>
      </c>
      <c r="F208" s="101"/>
      <c r="G208" s="101"/>
      <c r="H208" s="101"/>
    </row>
    <row r="209" spans="1:8" hidden="1" x14ac:dyDescent="0.35">
      <c r="A209" s="67" t="s">
        <v>66</v>
      </c>
      <c r="B209" s="67" t="s">
        <v>226</v>
      </c>
      <c r="C209" s="101"/>
      <c r="D209" s="101"/>
      <c r="E209" s="101">
        <f>IF(Registrations[[#This Row],[Player 2]]="",Registrations[[#This Row],[Player 1]],Registrations[[#This Row],[Player 1]]&amp;" / "&amp;Registrations[[#This Row],[Player 2]])</f>
        <v>0</v>
      </c>
      <c r="F209" s="101"/>
      <c r="G209" s="101"/>
      <c r="H209" s="101"/>
    </row>
    <row r="210" spans="1:8" hidden="1" x14ac:dyDescent="0.35">
      <c r="A210" s="67" t="s">
        <v>66</v>
      </c>
      <c r="B210" s="67" t="s">
        <v>225</v>
      </c>
      <c r="C210" s="101"/>
      <c r="D210" s="101"/>
      <c r="E210" s="101">
        <f>IF(Registrations[[#This Row],[Player 2]]="",Registrations[[#This Row],[Player 1]],Registrations[[#This Row],[Player 1]]&amp;" / "&amp;Registrations[[#This Row],[Player 2]])</f>
        <v>0</v>
      </c>
      <c r="F210" s="101"/>
      <c r="G210" s="101"/>
      <c r="H210" s="101"/>
    </row>
    <row r="211" spans="1:8" hidden="1" x14ac:dyDescent="0.35">
      <c r="A211" s="67" t="s">
        <v>66</v>
      </c>
      <c r="B211" s="67" t="s">
        <v>224</v>
      </c>
      <c r="C211" s="101"/>
      <c r="D211" s="101"/>
      <c r="E211" s="101">
        <f>IF(Registrations[[#This Row],[Player 2]]="",Registrations[[#This Row],[Player 1]],Registrations[[#This Row],[Player 1]]&amp;" / "&amp;Registrations[[#This Row],[Player 2]])</f>
        <v>0</v>
      </c>
      <c r="F211" s="101"/>
      <c r="G211" s="101"/>
      <c r="H211" s="101"/>
    </row>
    <row r="236" spans="1:6" x14ac:dyDescent="0.35">
      <c r="A236" s="67"/>
      <c r="B236" s="67"/>
      <c r="C236" s="67"/>
      <c r="D236" s="67"/>
      <c r="E236" s="67"/>
      <c r="F236" s="67"/>
    </row>
    <row r="237" spans="1:6" x14ac:dyDescent="0.35">
      <c r="A237" s="67"/>
      <c r="B237" s="67"/>
      <c r="C237" s="67"/>
      <c r="D237" s="67"/>
      <c r="E237" s="67"/>
      <c r="F237" s="67"/>
    </row>
    <row r="238" spans="1:6" x14ac:dyDescent="0.35">
      <c r="A238" s="67"/>
      <c r="B238" s="67"/>
      <c r="C238" s="67"/>
      <c r="D238" s="67"/>
      <c r="E238" s="67"/>
      <c r="F238" s="67"/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C69E-F953-472D-BCC3-FD70FE27D9D2}">
  <dimension ref="A1:I59"/>
  <sheetViews>
    <sheetView showGridLines="0" workbookViewId="0">
      <selection activeCell="A2" sqref="A2:A5"/>
    </sheetView>
  </sheetViews>
  <sheetFormatPr defaultRowHeight="12" x14ac:dyDescent="0.3"/>
  <cols>
    <col min="1" max="16384" width="8.7265625" style="24"/>
  </cols>
  <sheetData>
    <row r="1" spans="1:9" x14ac:dyDescent="0.3">
      <c r="A1" s="100" t="s">
        <v>10</v>
      </c>
      <c r="B1" s="99" t="s">
        <v>11</v>
      </c>
      <c r="C1" s="99" t="str">
        <f t="shared" ref="C1:I1" si="0">"Pool " &amp; VALUE(RIGHT(B1, LEN(B1)-5))+1</f>
        <v>Pool 2</v>
      </c>
      <c r="D1" s="99" t="str">
        <f t="shared" si="0"/>
        <v>Pool 3</v>
      </c>
      <c r="E1" s="99" t="str">
        <f t="shared" si="0"/>
        <v>Pool 4</v>
      </c>
      <c r="F1" s="99" t="str">
        <f t="shared" si="0"/>
        <v>Pool 5</v>
      </c>
      <c r="G1" s="99" t="str">
        <f t="shared" si="0"/>
        <v>Pool 6</v>
      </c>
      <c r="H1" s="99" t="str">
        <f t="shared" si="0"/>
        <v>Pool 7</v>
      </c>
      <c r="I1" s="99" t="str">
        <f t="shared" si="0"/>
        <v>Pool 8</v>
      </c>
    </row>
    <row r="2" spans="1:9" x14ac:dyDescent="0.3">
      <c r="A2" s="119" t="s">
        <v>49</v>
      </c>
      <c r="B2" s="98" t="str">
        <f>'Registrations'!E4</f>
        <v>Sanjay Gatti</v>
      </c>
      <c r="C2" s="98">
        <f>'Registrations'!E8</f>
        <v>0</v>
      </c>
      <c r="D2" s="98">
        <f>'Registrations'!E12</f>
        <v>0</v>
      </c>
      <c r="E2" s="98">
        <f>'Registrations'!E16</f>
        <v>0</v>
      </c>
      <c r="F2" s="98">
        <f>'Registrations'!E20</f>
        <v>0</v>
      </c>
      <c r="G2" s="98">
        <f>'Registrations'!E24</f>
        <v>0</v>
      </c>
      <c r="H2" s="98"/>
      <c r="I2" s="97"/>
    </row>
    <row r="3" spans="1:9" x14ac:dyDescent="0.3">
      <c r="A3" s="119"/>
      <c r="B3" s="98">
        <f>'Registrations'!E5</f>
        <v>0</v>
      </c>
      <c r="C3" s="98">
        <f>'Registrations'!E9</f>
        <v>0</v>
      </c>
      <c r="D3" s="98">
        <f>'Registrations'!E13</f>
        <v>0</v>
      </c>
      <c r="E3" s="98">
        <f>'Registrations'!E17</f>
        <v>0</v>
      </c>
      <c r="F3" s="98">
        <f>'Registrations'!E21</f>
        <v>0</v>
      </c>
      <c r="G3" s="98">
        <f>'Registrations'!E25</f>
        <v>0</v>
      </c>
      <c r="H3" s="98"/>
      <c r="I3" s="97"/>
    </row>
    <row r="4" spans="1:9" x14ac:dyDescent="0.3">
      <c r="A4" s="119"/>
      <c r="B4" s="98">
        <f>'Registrations'!E6</f>
        <v>0</v>
      </c>
      <c r="C4" s="98">
        <f>'Registrations'!E10</f>
        <v>0</v>
      </c>
      <c r="D4" s="98">
        <f>'Registrations'!E14</f>
        <v>0</v>
      </c>
      <c r="E4" s="98">
        <f>'Registrations'!E18</f>
        <v>0</v>
      </c>
      <c r="F4" s="98">
        <f>'Registrations'!E22</f>
        <v>0</v>
      </c>
      <c r="G4" s="98">
        <f>'Registrations'!E26</f>
        <v>0</v>
      </c>
      <c r="H4" s="98"/>
      <c r="I4" s="97"/>
    </row>
    <row r="5" spans="1:9" x14ac:dyDescent="0.3">
      <c r="A5" s="119"/>
      <c r="B5" s="98">
        <f>'Registrations'!E7</f>
        <v>0</v>
      </c>
      <c r="C5" s="98">
        <f>'Registrations'!E11</f>
        <v>0</v>
      </c>
      <c r="D5" s="98">
        <f>'Registrations'!E15</f>
        <v>0</v>
      </c>
      <c r="E5" s="98">
        <f>'Registrations'!E19</f>
        <v>0</v>
      </c>
      <c r="F5" s="98">
        <f>'Registrations'!E23</f>
        <v>0</v>
      </c>
      <c r="G5" s="98">
        <f>'Registrations'!E27</f>
        <v>0</v>
      </c>
      <c r="H5" s="98"/>
      <c r="I5" s="97"/>
    </row>
    <row r="7" spans="1:9" ht="12" customHeight="1" x14ac:dyDescent="0.3">
      <c r="A7" s="119" t="s">
        <v>112</v>
      </c>
      <c r="B7" s="98">
        <f>'Registrations'!E28</f>
        <v>0</v>
      </c>
      <c r="C7" s="98">
        <f>'Registrations'!E32</f>
        <v>0</v>
      </c>
      <c r="D7" s="98">
        <f>'Registrations'!E36</f>
        <v>0</v>
      </c>
      <c r="E7" s="98"/>
      <c r="F7" s="98"/>
      <c r="G7" s="98"/>
      <c r="H7" s="97"/>
      <c r="I7" s="97"/>
    </row>
    <row r="8" spans="1:9" x14ac:dyDescent="0.3">
      <c r="A8" s="119"/>
      <c r="B8" s="98">
        <f>'Registrations'!E29</f>
        <v>0</v>
      </c>
      <c r="C8" s="98">
        <f>'Registrations'!E33</f>
        <v>0</v>
      </c>
      <c r="D8" s="98">
        <f>'Registrations'!E37</f>
        <v>0</v>
      </c>
      <c r="E8" s="98"/>
      <c r="F8" s="98"/>
      <c r="G8" s="98"/>
      <c r="H8" s="97"/>
      <c r="I8" s="97"/>
    </row>
    <row r="9" spans="1:9" x14ac:dyDescent="0.3">
      <c r="A9" s="119"/>
      <c r="B9" s="98">
        <f>'Registrations'!E30</f>
        <v>0</v>
      </c>
      <c r="C9" s="98">
        <f>'Registrations'!E34</f>
        <v>0</v>
      </c>
      <c r="D9" s="98">
        <f>'Registrations'!E38</f>
        <v>0</v>
      </c>
      <c r="E9" s="98"/>
      <c r="F9" s="98"/>
      <c r="G9" s="98"/>
      <c r="H9" s="97"/>
      <c r="I9" s="97"/>
    </row>
    <row r="10" spans="1:9" x14ac:dyDescent="0.3">
      <c r="A10" s="119"/>
      <c r="B10" s="98">
        <f>'Registrations'!E31</f>
        <v>0</v>
      </c>
      <c r="C10" s="98">
        <f>'Registrations'!E35</f>
        <v>0</v>
      </c>
      <c r="D10" s="98">
        <f>'Registrations'!E39</f>
        <v>0</v>
      </c>
      <c r="E10" s="98"/>
      <c r="F10" s="98"/>
      <c r="G10" s="98"/>
      <c r="H10" s="97"/>
      <c r="I10" s="97"/>
    </row>
    <row r="12" spans="1:9" ht="12" customHeight="1" x14ac:dyDescent="0.3">
      <c r="A12" s="119" t="s">
        <v>54</v>
      </c>
      <c r="B12" s="98">
        <f>'Registrations'!E40</f>
        <v>0</v>
      </c>
      <c r="C12" s="98">
        <f>'Registrations'!E44</f>
        <v>0</v>
      </c>
      <c r="D12" s="98">
        <f>'Registrations'!E48</f>
        <v>0</v>
      </c>
      <c r="E12" s="98">
        <f>'Registrations'!E52</f>
        <v>0</v>
      </c>
      <c r="F12" s="98">
        <f>'Registrations'!E56</f>
        <v>0</v>
      </c>
      <c r="G12" s="98">
        <f>'Registrations'!E60</f>
        <v>0</v>
      </c>
      <c r="H12" s="97">
        <f>'Registrations'!E64</f>
        <v>0</v>
      </c>
      <c r="I12" s="97">
        <f>'Registrations'!E68</f>
        <v>0</v>
      </c>
    </row>
    <row r="13" spans="1:9" x14ac:dyDescent="0.3">
      <c r="A13" s="119"/>
      <c r="B13" s="98">
        <f>'Registrations'!E41</f>
        <v>0</v>
      </c>
      <c r="C13" s="98">
        <f>'Registrations'!E45</f>
        <v>0</v>
      </c>
      <c r="D13" s="98">
        <f>'Registrations'!E49</f>
        <v>0</v>
      </c>
      <c r="E13" s="98">
        <f>'Registrations'!E53</f>
        <v>0</v>
      </c>
      <c r="F13" s="98">
        <f>'Registrations'!E57</f>
        <v>0</v>
      </c>
      <c r="G13" s="98">
        <f>'Registrations'!E61</f>
        <v>0</v>
      </c>
      <c r="H13" s="97">
        <f>'Registrations'!E65</f>
        <v>0</v>
      </c>
      <c r="I13" s="97">
        <f>'Registrations'!E69</f>
        <v>0</v>
      </c>
    </row>
    <row r="14" spans="1:9" x14ac:dyDescent="0.3">
      <c r="A14" s="119"/>
      <c r="B14" s="98">
        <f>'Registrations'!E42</f>
        <v>0</v>
      </c>
      <c r="C14" s="98">
        <f>'Registrations'!E46</f>
        <v>0</v>
      </c>
      <c r="D14" s="98">
        <f>'Registrations'!E50</f>
        <v>0</v>
      </c>
      <c r="E14" s="98">
        <f>'Registrations'!E54</f>
        <v>0</v>
      </c>
      <c r="F14" s="98">
        <f>'Registrations'!E58</f>
        <v>0</v>
      </c>
      <c r="G14" s="98">
        <f>'Registrations'!E62</f>
        <v>0</v>
      </c>
      <c r="H14" s="97">
        <f>'Registrations'!E66</f>
        <v>0</v>
      </c>
      <c r="I14" s="97">
        <f>'Registrations'!E70</f>
        <v>0</v>
      </c>
    </row>
    <row r="15" spans="1:9" x14ac:dyDescent="0.3">
      <c r="A15" s="119"/>
      <c r="B15" s="98">
        <f>'Registrations'!E43</f>
        <v>0</v>
      </c>
      <c r="C15" s="98">
        <f>'Registrations'!E47</f>
        <v>0</v>
      </c>
      <c r="D15" s="98">
        <f>'Registrations'!E51</f>
        <v>0</v>
      </c>
      <c r="E15" s="98">
        <f>'Registrations'!E55</f>
        <v>0</v>
      </c>
      <c r="F15" s="98">
        <f>'Registrations'!E59</f>
        <v>0</v>
      </c>
      <c r="G15" s="98">
        <f>'Registrations'!E63</f>
        <v>0</v>
      </c>
      <c r="H15" s="97">
        <f>'Registrations'!E67</f>
        <v>0</v>
      </c>
      <c r="I15" s="97">
        <f>'Registrations'!E71</f>
        <v>0</v>
      </c>
    </row>
    <row r="17" spans="1:9" ht="12" customHeight="1" x14ac:dyDescent="0.3">
      <c r="A17" s="119" t="s">
        <v>73</v>
      </c>
      <c r="B17" s="98">
        <f>'Registrations'!E72</f>
        <v>0</v>
      </c>
      <c r="C17" s="98">
        <f>'Registrations'!E76</f>
        <v>0</v>
      </c>
      <c r="D17" s="98">
        <f>'Registrations'!E80</f>
        <v>0</v>
      </c>
      <c r="E17" s="98">
        <f>'Registrations'!E84</f>
        <v>0</v>
      </c>
      <c r="F17" s="98">
        <f>'Registrations'!E88</f>
        <v>0</v>
      </c>
      <c r="G17" s="98">
        <f>'Registrations'!E92</f>
        <v>0</v>
      </c>
      <c r="H17" s="98"/>
      <c r="I17" s="97"/>
    </row>
    <row r="18" spans="1:9" x14ac:dyDescent="0.3">
      <c r="A18" s="119"/>
      <c r="B18" s="98">
        <f>'Registrations'!E73</f>
        <v>0</v>
      </c>
      <c r="C18" s="98">
        <f>'Registrations'!E77</f>
        <v>0</v>
      </c>
      <c r="D18" s="98">
        <f>'Registrations'!E81</f>
        <v>0</v>
      </c>
      <c r="E18" s="98">
        <f>'Registrations'!E85</f>
        <v>0</v>
      </c>
      <c r="F18" s="98">
        <f>'Registrations'!E89</f>
        <v>0</v>
      </c>
      <c r="G18" s="98">
        <f>'Registrations'!E93</f>
        <v>0</v>
      </c>
      <c r="H18" s="98"/>
      <c r="I18" s="97"/>
    </row>
    <row r="19" spans="1:9" x14ac:dyDescent="0.3">
      <c r="A19" s="119"/>
      <c r="B19" s="98">
        <f>'Registrations'!E74</f>
        <v>0</v>
      </c>
      <c r="C19" s="98">
        <f>'Registrations'!E78</f>
        <v>0</v>
      </c>
      <c r="D19" s="98">
        <f>'Registrations'!E82</f>
        <v>0</v>
      </c>
      <c r="E19" s="98">
        <f>'Registrations'!E86</f>
        <v>0</v>
      </c>
      <c r="F19" s="98">
        <f>'Registrations'!E90</f>
        <v>0</v>
      </c>
      <c r="G19" s="98">
        <f>'Registrations'!E94</f>
        <v>0</v>
      </c>
      <c r="H19" s="98"/>
      <c r="I19" s="97"/>
    </row>
    <row r="20" spans="1:9" x14ac:dyDescent="0.3">
      <c r="A20" s="119"/>
      <c r="B20" s="98">
        <f>'Registrations'!E75</f>
        <v>0</v>
      </c>
      <c r="C20" s="98">
        <f>'Registrations'!E79</f>
        <v>0</v>
      </c>
      <c r="D20" s="98">
        <f>'Registrations'!E83</f>
        <v>0</v>
      </c>
      <c r="E20" s="98">
        <f>'Registrations'!E87</f>
        <v>0</v>
      </c>
      <c r="F20" s="98">
        <f>'Registrations'!E91</f>
        <v>0</v>
      </c>
      <c r="G20" s="98">
        <f>'Registrations'!E95</f>
        <v>0</v>
      </c>
      <c r="H20" s="98"/>
      <c r="I20" s="97"/>
    </row>
    <row r="22" spans="1:9" ht="12" customHeight="1" x14ac:dyDescent="0.3">
      <c r="A22" s="119" t="s">
        <v>56</v>
      </c>
      <c r="B22" s="98">
        <f>'Registrations'!E96</f>
        <v>0</v>
      </c>
      <c r="C22" s="98">
        <f>'Registrations'!E100</f>
        <v>0</v>
      </c>
      <c r="D22" s="98">
        <f>'Registrations'!E104</f>
        <v>0</v>
      </c>
      <c r="E22" s="98">
        <f>'Registrations'!E108</f>
        <v>0</v>
      </c>
      <c r="F22" s="98">
        <f>'Registrations'!E112</f>
        <v>0</v>
      </c>
      <c r="G22" s="98">
        <f>'Registrations'!E116</f>
        <v>0</v>
      </c>
      <c r="H22" s="97"/>
      <c r="I22" s="97"/>
    </row>
    <row r="23" spans="1:9" x14ac:dyDescent="0.3">
      <c r="A23" s="119"/>
      <c r="B23" s="98">
        <f>'Registrations'!E97</f>
        <v>0</v>
      </c>
      <c r="C23" s="98">
        <f>'Registrations'!E101</f>
        <v>0</v>
      </c>
      <c r="D23" s="98">
        <f>'Registrations'!E105</f>
        <v>0</v>
      </c>
      <c r="E23" s="98">
        <f>'Registrations'!E109</f>
        <v>0</v>
      </c>
      <c r="F23" s="98">
        <f>'Registrations'!E113</f>
        <v>0</v>
      </c>
      <c r="G23" s="98">
        <f>'Registrations'!E117</f>
        <v>0</v>
      </c>
      <c r="H23" s="97"/>
      <c r="I23" s="97"/>
    </row>
    <row r="24" spans="1:9" x14ac:dyDescent="0.3">
      <c r="A24" s="119"/>
      <c r="B24" s="98">
        <f>'Registrations'!E98</f>
        <v>0</v>
      </c>
      <c r="C24" s="98">
        <f>'Registrations'!E102</f>
        <v>0</v>
      </c>
      <c r="D24" s="98">
        <f>'Registrations'!E106</f>
        <v>0</v>
      </c>
      <c r="E24" s="98">
        <f>'Registrations'!E110</f>
        <v>0</v>
      </c>
      <c r="F24" s="98">
        <f>'Registrations'!E114</f>
        <v>0</v>
      </c>
      <c r="G24" s="98">
        <f>'Registrations'!E118</f>
        <v>0</v>
      </c>
      <c r="H24" s="97"/>
      <c r="I24" s="97"/>
    </row>
    <row r="25" spans="1:9" x14ac:dyDescent="0.3">
      <c r="A25" s="119"/>
      <c r="B25" s="98">
        <f>'Registrations'!E99</f>
        <v>0</v>
      </c>
      <c r="C25" s="98">
        <f>'Registrations'!E103</f>
        <v>0</v>
      </c>
      <c r="D25" s="98">
        <f>'Registrations'!E107</f>
        <v>0</v>
      </c>
      <c r="E25" s="98">
        <f>'Registrations'!E111</f>
        <v>0</v>
      </c>
      <c r="F25" s="98">
        <f>'Registrations'!E115</f>
        <v>0</v>
      </c>
      <c r="G25" s="98">
        <f>'Registrations'!E119</f>
        <v>0</v>
      </c>
      <c r="H25" s="97"/>
      <c r="I25" s="97"/>
    </row>
    <row r="27" spans="1:9" x14ac:dyDescent="0.3">
      <c r="A27" s="119" t="s">
        <v>66</v>
      </c>
      <c r="B27" s="98">
        <f>'Registrations'!E200</f>
        <v>0</v>
      </c>
      <c r="C27" s="98">
        <f>'Registrations'!E204</f>
        <v>0</v>
      </c>
      <c r="D27" s="98">
        <f>'Registrations'!E208</f>
        <v>0</v>
      </c>
      <c r="E27" s="98"/>
      <c r="F27" s="98"/>
      <c r="G27" s="98"/>
      <c r="H27" s="98"/>
      <c r="I27" s="97"/>
    </row>
    <row r="28" spans="1:9" x14ac:dyDescent="0.3">
      <c r="A28" s="119"/>
      <c r="B28" s="98">
        <f>'Registrations'!E201</f>
        <v>0</v>
      </c>
      <c r="C28" s="98">
        <f>'Registrations'!E205</f>
        <v>0</v>
      </c>
      <c r="D28" s="98">
        <f>'Registrations'!E209</f>
        <v>0</v>
      </c>
      <c r="E28" s="98"/>
      <c r="F28" s="98"/>
      <c r="G28" s="98"/>
      <c r="H28" s="98"/>
      <c r="I28" s="97"/>
    </row>
    <row r="29" spans="1:9" x14ac:dyDescent="0.3">
      <c r="A29" s="119"/>
      <c r="B29" s="98">
        <f>'Registrations'!E202</f>
        <v>0</v>
      </c>
      <c r="C29" s="98">
        <f>'Registrations'!E206</f>
        <v>0</v>
      </c>
      <c r="D29" s="98">
        <f>'Registrations'!E210</f>
        <v>0</v>
      </c>
      <c r="E29" s="98"/>
      <c r="F29" s="98"/>
      <c r="G29" s="98"/>
      <c r="H29" s="98"/>
      <c r="I29" s="97"/>
    </row>
    <row r="30" spans="1:9" x14ac:dyDescent="0.3">
      <c r="A30" s="119"/>
      <c r="B30" s="98">
        <f>'Registrations'!E203</f>
        <v>0</v>
      </c>
      <c r="C30" s="98">
        <f>'Registrations'!E207</f>
        <v>0</v>
      </c>
      <c r="D30" s="98">
        <f>'Registrations'!E211</f>
        <v>0</v>
      </c>
      <c r="E30" s="98"/>
      <c r="F30" s="98"/>
      <c r="G30" s="98"/>
      <c r="H30" s="98"/>
      <c r="I30" s="97"/>
    </row>
    <row r="32" spans="1:9" x14ac:dyDescent="0.3">
      <c r="A32" s="119" t="s">
        <v>51</v>
      </c>
      <c r="B32" s="98" t="str">
        <f>'Registrations'!E120</f>
        <v>Rajib Sengupta / Antriksh Gala</v>
      </c>
      <c r="C32" s="98">
        <f>'Registrations'!E124</f>
        <v>0</v>
      </c>
      <c r="D32" s="98">
        <f>'Registrations'!E128</f>
        <v>0</v>
      </c>
      <c r="E32" s="98">
        <f>'Registrations'!E132</f>
        <v>0</v>
      </c>
      <c r="F32" s="98">
        <f>'Registrations'!E136</f>
        <v>0</v>
      </c>
      <c r="G32" s="98">
        <f>'Registrations'!E140</f>
        <v>0</v>
      </c>
      <c r="H32" s="98"/>
      <c r="I32" s="97"/>
    </row>
    <row r="33" spans="1:9" x14ac:dyDescent="0.3">
      <c r="A33" s="119"/>
      <c r="B33" s="98" t="str">
        <f>'Registrations'!E121</f>
        <v>Pratik Bhagat / Godfrey Kattancherry</v>
      </c>
      <c r="C33" s="98">
        <f>'Registrations'!E125</f>
        <v>0</v>
      </c>
      <c r="D33" s="98">
        <f>'Registrations'!E129</f>
        <v>0</v>
      </c>
      <c r="E33" s="98">
        <f>'Registrations'!E133</f>
        <v>0</v>
      </c>
      <c r="F33" s="98">
        <f>'Registrations'!E137</f>
        <v>0</v>
      </c>
      <c r="G33" s="98">
        <f>'Registrations'!E141</f>
        <v>0</v>
      </c>
      <c r="H33" s="98"/>
      <c r="I33" s="97"/>
    </row>
    <row r="34" spans="1:9" x14ac:dyDescent="0.3">
      <c r="A34" s="119"/>
      <c r="B34" s="98">
        <f>'Registrations'!E122</f>
        <v>0</v>
      </c>
      <c r="C34" s="98">
        <f>'Registrations'!E126</f>
        <v>0</v>
      </c>
      <c r="D34" s="98">
        <f>'Registrations'!E130</f>
        <v>0</v>
      </c>
      <c r="E34" s="98">
        <f>'Registrations'!E134</f>
        <v>0</v>
      </c>
      <c r="F34" s="98">
        <f>'Registrations'!E138</f>
        <v>0</v>
      </c>
      <c r="G34" s="98">
        <f>'Registrations'!E142</f>
        <v>0</v>
      </c>
      <c r="H34" s="98"/>
      <c r="I34" s="97"/>
    </row>
    <row r="35" spans="1:9" x14ac:dyDescent="0.3">
      <c r="A35" s="119"/>
      <c r="B35" s="98">
        <f>'Registrations'!E123</f>
        <v>0</v>
      </c>
      <c r="C35" s="98">
        <f>'Registrations'!E127</f>
        <v>0</v>
      </c>
      <c r="D35" s="98">
        <f>'Registrations'!E131</f>
        <v>0</v>
      </c>
      <c r="E35" s="98">
        <f>'Registrations'!E135</f>
        <v>0</v>
      </c>
      <c r="F35" s="98">
        <f>'Registrations'!E139</f>
        <v>0</v>
      </c>
      <c r="G35" s="98">
        <f>'Registrations'!E143</f>
        <v>0</v>
      </c>
      <c r="H35" s="98"/>
      <c r="I35" s="97"/>
    </row>
    <row r="37" spans="1:9" ht="12" customHeight="1" x14ac:dyDescent="0.3">
      <c r="A37" s="119" t="s">
        <v>52</v>
      </c>
      <c r="B37" s="98" t="str">
        <f>'Registrations'!E144</f>
        <v>Sanjay Gatti / Prabhakar Ghadge</v>
      </c>
      <c r="C37" s="98">
        <f>'Registrations'!E148</f>
        <v>0</v>
      </c>
      <c r="D37" s="98">
        <f>'Registrations'!E152</f>
        <v>0</v>
      </c>
      <c r="E37" s="98">
        <f>'Registrations'!E156</f>
        <v>0</v>
      </c>
      <c r="F37" s="98">
        <f>'Registrations'!E160</f>
        <v>0</v>
      </c>
      <c r="G37" s="98">
        <f>'Registrations'!E164</f>
        <v>0</v>
      </c>
      <c r="H37" s="98">
        <f>'Registrations'!E168</f>
        <v>0</v>
      </c>
      <c r="I37" s="98">
        <f>'Registrations'!E172</f>
        <v>0</v>
      </c>
    </row>
    <row r="38" spans="1:9" x14ac:dyDescent="0.3">
      <c r="A38" s="119"/>
      <c r="B38" s="98" t="str">
        <f>'Registrations'!E145</f>
        <v>Yash Salvi / Chaitanya Hirlekar</v>
      </c>
      <c r="C38" s="98">
        <f>'Registrations'!E149</f>
        <v>0</v>
      </c>
      <c r="D38" s="98">
        <f>'Registrations'!E153</f>
        <v>0</v>
      </c>
      <c r="E38" s="98">
        <f>'Registrations'!E157</f>
        <v>0</v>
      </c>
      <c r="F38" s="98">
        <f>'Registrations'!E161</f>
        <v>0</v>
      </c>
      <c r="G38" s="98">
        <f>'Registrations'!E165</f>
        <v>0</v>
      </c>
      <c r="H38" s="98">
        <f>'Registrations'!E169</f>
        <v>0</v>
      </c>
      <c r="I38" s="98">
        <f>'Registrations'!E173</f>
        <v>0</v>
      </c>
    </row>
    <row r="39" spans="1:9" x14ac:dyDescent="0.3">
      <c r="A39" s="119"/>
      <c r="B39" s="98">
        <f>'Registrations'!E146</f>
        <v>0</v>
      </c>
      <c r="C39" s="98">
        <f>'Registrations'!E150</f>
        <v>0</v>
      </c>
      <c r="D39" s="98">
        <f>'Registrations'!E154</f>
        <v>0</v>
      </c>
      <c r="E39" s="98">
        <f>'Registrations'!E158</f>
        <v>0</v>
      </c>
      <c r="F39" s="98">
        <f>'Registrations'!E162</f>
        <v>0</v>
      </c>
      <c r="G39" s="98">
        <f>'Registrations'!E166</f>
        <v>0</v>
      </c>
      <c r="H39" s="98">
        <f>'Registrations'!E170</f>
        <v>0</v>
      </c>
      <c r="I39" s="98">
        <f>'Registrations'!E174</f>
        <v>0</v>
      </c>
    </row>
    <row r="40" spans="1:9" x14ac:dyDescent="0.3">
      <c r="A40" s="119"/>
      <c r="B40" s="98">
        <f>'Registrations'!E147</f>
        <v>0</v>
      </c>
      <c r="C40" s="98">
        <f>'Registrations'!E151</f>
        <v>0</v>
      </c>
      <c r="D40" s="98">
        <f>'Registrations'!E155</f>
        <v>0</v>
      </c>
      <c r="E40" s="98">
        <f>'Registrations'!E159</f>
        <v>0</v>
      </c>
      <c r="F40" s="98">
        <f>'Registrations'!E163</f>
        <v>0</v>
      </c>
      <c r="G40" s="98">
        <f>'Registrations'!E167</f>
        <v>0</v>
      </c>
      <c r="H40" s="98">
        <f>'Registrations'!E171</f>
        <v>0</v>
      </c>
      <c r="I40" s="98">
        <f>'Registrations'!E175</f>
        <v>0</v>
      </c>
    </row>
    <row r="42" spans="1:9" x14ac:dyDescent="0.3">
      <c r="A42" s="119" t="s">
        <v>53</v>
      </c>
      <c r="B42" s="98" t="str">
        <f>'Registrations'!E176</f>
        <v>Sachin Verma / Hema Thakkar</v>
      </c>
      <c r="C42" s="98">
        <f>'Registrations'!E180</f>
        <v>0</v>
      </c>
      <c r="D42" s="98">
        <f>'Registrations'!E184</f>
        <v>0</v>
      </c>
      <c r="E42" s="98">
        <f>'Registrations'!E188</f>
        <v>0</v>
      </c>
      <c r="F42" s="98">
        <f>'Registrations'!E192</f>
        <v>0</v>
      </c>
      <c r="G42" s="98">
        <f>'Registrations'!E196</f>
        <v>0</v>
      </c>
      <c r="H42" s="97"/>
      <c r="I42" s="97"/>
    </row>
    <row r="43" spans="1:9" x14ac:dyDescent="0.3">
      <c r="A43" s="119"/>
      <c r="B43" s="98" t="str">
        <f>'Registrations'!E177</f>
        <v>Amandeep Saini / Alisha Bhise</v>
      </c>
      <c r="C43" s="98">
        <f>'Registrations'!E181</f>
        <v>0</v>
      </c>
      <c r="D43" s="98">
        <f>'Registrations'!E185</f>
        <v>0</v>
      </c>
      <c r="E43" s="98">
        <f>'Registrations'!E189</f>
        <v>0</v>
      </c>
      <c r="F43" s="98">
        <f>'Registrations'!E193</f>
        <v>0</v>
      </c>
      <c r="G43" s="98">
        <f>'Registrations'!E197</f>
        <v>0</v>
      </c>
      <c r="H43" s="97"/>
      <c r="I43" s="97"/>
    </row>
    <row r="44" spans="1:9" x14ac:dyDescent="0.3">
      <c r="A44" s="119"/>
      <c r="B44" s="98" t="str">
        <f>'Registrations'!E178</f>
        <v>Nachiket Gogia / Purva Verma</v>
      </c>
      <c r="C44" s="98">
        <f>'Registrations'!E182</f>
        <v>0</v>
      </c>
      <c r="D44" s="98">
        <f>'Registrations'!E186</f>
        <v>0</v>
      </c>
      <c r="E44" s="98">
        <f>'Registrations'!E190</f>
        <v>0</v>
      </c>
      <c r="F44" s="98">
        <f>'Registrations'!E194</f>
        <v>0</v>
      </c>
      <c r="G44" s="98">
        <f>'Registrations'!E198</f>
        <v>0</v>
      </c>
      <c r="H44" s="97"/>
      <c r="I44" s="97"/>
    </row>
    <row r="45" spans="1:9" x14ac:dyDescent="0.3">
      <c r="A45" s="119"/>
      <c r="B45" s="98">
        <f>'Registrations'!E179</f>
        <v>0</v>
      </c>
      <c r="C45" s="98">
        <f>'Registrations'!E183</f>
        <v>0</v>
      </c>
      <c r="D45" s="98">
        <f>'Registrations'!E187</f>
        <v>0</v>
      </c>
      <c r="E45" s="98">
        <f>'Registrations'!E191</f>
        <v>0</v>
      </c>
      <c r="F45" s="98">
        <f>'Registrations'!E195</f>
        <v>0</v>
      </c>
      <c r="G45" s="98">
        <f>'Registrations'!E199</f>
        <v>0</v>
      </c>
      <c r="H45" s="97"/>
      <c r="I45" s="97"/>
    </row>
    <row r="56" spans="7:7" x14ac:dyDescent="0.3">
      <c r="G56" s="32"/>
    </row>
    <row r="57" spans="7:7" x14ac:dyDescent="0.3">
      <c r="G57" s="32"/>
    </row>
    <row r="58" spans="7:7" x14ac:dyDescent="0.3">
      <c r="G58" s="32"/>
    </row>
    <row r="59" spans="7:7" x14ac:dyDescent="0.3">
      <c r="G59" s="32"/>
    </row>
  </sheetData>
  <mergeCells count="9">
    <mergeCell ref="A2:A5"/>
    <mergeCell ref="A7:A10"/>
    <mergeCell ref="A32:A35"/>
    <mergeCell ref="A37:A40"/>
    <mergeCell ref="A42:A45"/>
    <mergeCell ref="A12:A15"/>
    <mergeCell ref="A17:A20"/>
    <mergeCell ref="A27:A30"/>
    <mergeCell ref="A22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8A4E-2298-4CDB-8232-D9EBF4A48118}">
  <dimension ref="A1:U98"/>
  <sheetViews>
    <sheetView showGridLines="0" workbookViewId="0">
      <selection activeCell="F3" sqref="F3"/>
    </sheetView>
  </sheetViews>
  <sheetFormatPr defaultRowHeight="12" x14ac:dyDescent="0.3"/>
  <cols>
    <col min="1" max="5" width="8.7265625" style="24"/>
    <col min="6" max="6" width="3.08984375" style="89" customWidth="1"/>
    <col min="7" max="9" width="8.7265625" style="24"/>
    <col min="10" max="10" width="3.08984375" style="24" customWidth="1"/>
    <col min="11" max="11" width="9.90625" style="24" bestFit="1" customWidth="1"/>
    <col min="12" max="13" width="8.7265625" style="24"/>
    <col min="14" max="14" width="3.08984375" style="24" customWidth="1"/>
    <col min="15" max="15" width="9.90625" style="24" bestFit="1" customWidth="1"/>
    <col min="16" max="17" width="8.7265625" style="24"/>
    <col min="18" max="18" width="3.08984375" style="24" customWidth="1"/>
    <col min="19" max="16384" width="8.7265625" style="24"/>
  </cols>
  <sheetData>
    <row r="1" spans="1:21" x14ac:dyDescent="0.3">
      <c r="A1" s="121" t="s">
        <v>68</v>
      </c>
      <c r="B1" s="121"/>
      <c r="C1" s="121"/>
      <c r="D1" s="121"/>
      <c r="E1" s="121"/>
      <c r="F1" s="96"/>
    </row>
    <row r="2" spans="1:21" x14ac:dyDescent="0.3">
      <c r="A2" s="120" t="s">
        <v>39</v>
      </c>
      <c r="B2" s="120"/>
      <c r="C2" s="120"/>
      <c r="D2" s="120"/>
      <c r="E2" s="120"/>
      <c r="F2" s="96"/>
      <c r="H2" s="120" t="s">
        <v>447</v>
      </c>
      <c r="I2" s="120"/>
      <c r="L2" s="120" t="s">
        <v>40</v>
      </c>
      <c r="M2" s="120"/>
      <c r="P2" s="120" t="s">
        <v>43</v>
      </c>
      <c r="Q2" s="120"/>
      <c r="T2" s="120" t="s">
        <v>41</v>
      </c>
      <c r="U2" s="120"/>
    </row>
    <row r="3" spans="1:21" x14ac:dyDescent="0.3">
      <c r="A3" s="93" t="s">
        <v>11</v>
      </c>
      <c r="B3" s="94" t="str" cm="1">
        <f t="array" ref="B3:E3">TRANSPOSE(Groups!B2:B5)</f>
        <v>Sanjay Gatti</v>
      </c>
      <c r="C3" s="95">
        <v>0</v>
      </c>
      <c r="D3" s="94">
        <v>0</v>
      </c>
      <c r="E3" s="95">
        <v>0</v>
      </c>
      <c r="F3" s="94"/>
      <c r="G3" s="24" t="s">
        <v>458</v>
      </c>
      <c r="H3" s="26" t="str">
        <f>B3</f>
        <v>Sanjay Gatti</v>
      </c>
      <c r="I3" s="90">
        <f>D4</f>
        <v>0</v>
      </c>
      <c r="K3" s="24" t="s">
        <v>457</v>
      </c>
      <c r="L3" s="26" t="str">
        <f>H3</f>
        <v>Sanjay Gatti</v>
      </c>
      <c r="M3" s="90">
        <f>H8</f>
        <v>0</v>
      </c>
      <c r="O3" s="24" t="s">
        <v>466</v>
      </c>
      <c r="P3" s="26" t="str">
        <f>L3</f>
        <v>Sanjay Gatti</v>
      </c>
      <c r="Q3" s="90">
        <f>L5</f>
        <v>0</v>
      </c>
      <c r="T3" s="26" t="str">
        <f>P3</f>
        <v>Sanjay Gatti</v>
      </c>
      <c r="U3" s="26">
        <f>P4</f>
        <v>0</v>
      </c>
    </row>
    <row r="4" spans="1:21" x14ac:dyDescent="0.3">
      <c r="A4" s="93" t="str">
        <f t="shared" ref="A4:A10" si="0">"Pool " &amp; VALUE(RIGHT(A3, LEN(A3)-5))+1</f>
        <v>Pool 2</v>
      </c>
      <c r="B4" s="26" cm="1">
        <f t="array" ref="B4:E4">TRANSPOSE(Groups!C2:C5)</f>
        <v>0</v>
      </c>
      <c r="C4" s="90">
        <v>0</v>
      </c>
      <c r="D4" s="26">
        <v>0</v>
      </c>
      <c r="E4" s="90">
        <v>0</v>
      </c>
      <c r="F4" s="94"/>
      <c r="G4" s="24" t="str">
        <f>G3</f>
        <v>Pool 1 vs 2</v>
      </c>
      <c r="H4" s="26">
        <f>D3</f>
        <v>0</v>
      </c>
      <c r="I4" s="90">
        <f>B4</f>
        <v>0</v>
      </c>
      <c r="K4" s="24" t="s">
        <v>456</v>
      </c>
      <c r="L4" s="26">
        <f>H4</f>
        <v>0</v>
      </c>
      <c r="M4" s="90">
        <f>H7</f>
        <v>0</v>
      </c>
      <c r="O4" s="24" t="s">
        <v>468</v>
      </c>
      <c r="P4" s="26">
        <f>L4</f>
        <v>0</v>
      </c>
      <c r="Q4" s="90" t="s">
        <v>467</v>
      </c>
    </row>
    <row r="5" spans="1:21" x14ac:dyDescent="0.3">
      <c r="A5" s="93" t="str">
        <f t="shared" si="0"/>
        <v>Pool 3</v>
      </c>
      <c r="B5" s="26" cm="1">
        <f t="array" ref="B5:E5">TRANSPOSE(Groups!D2:D5)</f>
        <v>0</v>
      </c>
      <c r="C5" s="90">
        <v>0</v>
      </c>
      <c r="D5" s="26">
        <v>0</v>
      </c>
      <c r="E5" s="90">
        <v>0</v>
      </c>
      <c r="F5" s="94"/>
      <c r="G5" s="24" t="s">
        <v>454</v>
      </c>
      <c r="H5" s="26">
        <f>B5</f>
        <v>0</v>
      </c>
      <c r="I5" s="90">
        <f>D6</f>
        <v>0</v>
      </c>
      <c r="K5" s="24" t="s">
        <v>454</v>
      </c>
      <c r="L5" s="26">
        <f>H5</f>
        <v>0</v>
      </c>
      <c r="M5" s="90">
        <f>H6</f>
        <v>0</v>
      </c>
    </row>
    <row r="6" spans="1:21" x14ac:dyDescent="0.3">
      <c r="A6" s="93" t="str">
        <f t="shared" si="0"/>
        <v>Pool 4</v>
      </c>
      <c r="B6" s="26" cm="1">
        <f t="array" ref="B6:E6">TRANSPOSE(Groups!E2:E5)</f>
        <v>0</v>
      </c>
      <c r="C6" s="90">
        <v>0</v>
      </c>
      <c r="D6" s="26">
        <v>0</v>
      </c>
      <c r="E6" s="90">
        <v>0</v>
      </c>
      <c r="F6" s="94"/>
      <c r="G6" s="24" t="str">
        <f>G5</f>
        <v>Pool 3 vs 4</v>
      </c>
      <c r="H6" s="26">
        <f>D5</f>
        <v>0</v>
      </c>
      <c r="I6" s="90">
        <f>B6</f>
        <v>0</v>
      </c>
    </row>
    <row r="7" spans="1:21" x14ac:dyDescent="0.3">
      <c r="A7" s="93" t="str">
        <f t="shared" si="0"/>
        <v>Pool 5</v>
      </c>
      <c r="B7" s="26" cm="1">
        <f t="array" ref="B7:E7">TRANSPOSE(Groups!F2:F5)</f>
        <v>0</v>
      </c>
      <c r="C7" s="90">
        <v>0</v>
      </c>
      <c r="D7" s="26">
        <v>0</v>
      </c>
      <c r="E7" s="90">
        <v>0</v>
      </c>
      <c r="F7" s="94"/>
      <c r="G7" s="24" t="s">
        <v>453</v>
      </c>
      <c r="H7" s="26">
        <f>B7</f>
        <v>0</v>
      </c>
      <c r="I7" s="90">
        <f>D8</f>
        <v>0</v>
      </c>
    </row>
    <row r="8" spans="1:21" x14ac:dyDescent="0.3">
      <c r="A8" s="93" t="str">
        <f t="shared" si="0"/>
        <v>Pool 6</v>
      </c>
      <c r="B8" s="26" cm="1">
        <f t="array" ref="B8:E8">TRANSPOSE(Groups!G2:G5)</f>
        <v>0</v>
      </c>
      <c r="C8" s="90">
        <v>0</v>
      </c>
      <c r="D8" s="26">
        <v>0</v>
      </c>
      <c r="E8" s="90">
        <v>0</v>
      </c>
      <c r="F8" s="94"/>
      <c r="G8" s="24" t="str">
        <f>G7</f>
        <v>Pool 5 vs 6</v>
      </c>
      <c r="H8" s="26">
        <f>D7</f>
        <v>0</v>
      </c>
      <c r="I8" s="90">
        <f>B8</f>
        <v>0</v>
      </c>
    </row>
    <row r="9" spans="1:21" x14ac:dyDescent="0.3">
      <c r="A9" s="93" t="str">
        <f t="shared" si="0"/>
        <v>Pool 7</v>
      </c>
      <c r="B9" s="26"/>
      <c r="C9" s="90"/>
      <c r="D9" s="26"/>
      <c r="E9" s="90"/>
      <c r="F9" s="92"/>
    </row>
    <row r="10" spans="1:21" x14ac:dyDescent="0.3">
      <c r="A10" s="93" t="str">
        <f t="shared" si="0"/>
        <v>Pool 8</v>
      </c>
      <c r="B10" s="32"/>
      <c r="C10" s="32"/>
      <c r="D10" s="32"/>
      <c r="E10" s="32"/>
      <c r="F10" s="92"/>
    </row>
    <row r="12" spans="1:21" x14ac:dyDescent="0.3">
      <c r="A12" s="121" t="s">
        <v>112</v>
      </c>
      <c r="B12" s="121"/>
      <c r="C12" s="121"/>
      <c r="D12" s="121"/>
      <c r="E12" s="121"/>
    </row>
    <row r="13" spans="1:21" x14ac:dyDescent="0.3">
      <c r="A13" s="120" t="str">
        <f t="shared" ref="A13:A21" si="1">A2</f>
        <v>Group Stage</v>
      </c>
      <c r="B13" s="120"/>
      <c r="C13" s="120"/>
      <c r="D13" s="120"/>
      <c r="E13" s="120"/>
      <c r="H13" s="120" t="s">
        <v>40</v>
      </c>
      <c r="I13" s="120"/>
      <c r="L13" s="120" t="s">
        <v>43</v>
      </c>
      <c r="M13" s="120"/>
      <c r="P13" s="120" t="s">
        <v>41</v>
      </c>
      <c r="Q13" s="120"/>
    </row>
    <row r="14" spans="1:21" x14ac:dyDescent="0.3">
      <c r="A14" s="24" t="str">
        <f t="shared" si="1"/>
        <v>Pool 1</v>
      </c>
      <c r="B14" s="26" cm="1">
        <f t="array" ref="B14:E14">TRANSPOSE(Groups!B7:B10)</f>
        <v>0</v>
      </c>
      <c r="C14" s="90">
        <v>0</v>
      </c>
      <c r="D14" s="26">
        <v>0</v>
      </c>
      <c r="E14" s="90">
        <v>0</v>
      </c>
      <c r="G14" s="24" t="s">
        <v>466</v>
      </c>
      <c r="H14" s="26">
        <f>B14</f>
        <v>0</v>
      </c>
      <c r="I14" s="90">
        <f>D16</f>
        <v>0</v>
      </c>
      <c r="K14" s="24" t="s">
        <v>458</v>
      </c>
      <c r="L14" s="26">
        <f>H14</f>
        <v>0</v>
      </c>
      <c r="M14" s="90">
        <f>H15</f>
        <v>0</v>
      </c>
      <c r="P14" s="26">
        <f>L14</f>
        <v>0</v>
      </c>
      <c r="Q14" s="26">
        <f>L15</f>
        <v>0</v>
      </c>
    </row>
    <row r="15" spans="1:21" x14ac:dyDescent="0.3">
      <c r="A15" s="24" t="str">
        <f t="shared" si="1"/>
        <v>Pool 2</v>
      </c>
      <c r="B15" s="26" cm="1">
        <f t="array" ref="B15:E15">TRANSPOSE(Groups!C7:C10)</f>
        <v>0</v>
      </c>
      <c r="C15" s="90">
        <v>0</v>
      </c>
      <c r="D15" s="26">
        <v>0</v>
      </c>
      <c r="E15" s="90">
        <v>0</v>
      </c>
      <c r="G15" s="24" t="s">
        <v>465</v>
      </c>
      <c r="H15" s="26">
        <f>B15</f>
        <v>0</v>
      </c>
      <c r="I15" s="90">
        <f>D14</f>
        <v>0</v>
      </c>
      <c r="K15" s="24" t="s">
        <v>454</v>
      </c>
      <c r="L15" s="26">
        <f>H16</f>
        <v>0</v>
      </c>
      <c r="M15" s="90" t="s">
        <v>455</v>
      </c>
    </row>
    <row r="16" spans="1:21" x14ac:dyDescent="0.3">
      <c r="A16" s="24" t="str">
        <f t="shared" si="1"/>
        <v>Pool 3</v>
      </c>
      <c r="B16" s="26" cm="1">
        <f t="array" ref="B16:E16">TRANSPOSE(Groups!D7:D10)</f>
        <v>0</v>
      </c>
      <c r="C16" s="90">
        <v>0</v>
      </c>
      <c r="D16" s="26">
        <v>0</v>
      </c>
      <c r="E16" s="90">
        <v>0</v>
      </c>
      <c r="G16" s="24" t="s">
        <v>464</v>
      </c>
      <c r="H16" s="26">
        <f>B16</f>
        <v>0</v>
      </c>
      <c r="I16" s="90">
        <f>D15</f>
        <v>0</v>
      </c>
    </row>
    <row r="17" spans="1:21" x14ac:dyDescent="0.3">
      <c r="A17" s="24" t="str">
        <f t="shared" si="1"/>
        <v>Pool 4</v>
      </c>
      <c r="B17" s="26"/>
      <c r="C17" s="90"/>
      <c r="D17" s="26"/>
      <c r="E17" s="90"/>
      <c r="H17" s="26"/>
      <c r="I17" s="90"/>
    </row>
    <row r="18" spans="1:21" x14ac:dyDescent="0.3">
      <c r="A18" s="24" t="str">
        <f t="shared" si="1"/>
        <v>Pool 5</v>
      </c>
      <c r="H18" s="26"/>
      <c r="I18" s="90"/>
    </row>
    <row r="19" spans="1:21" x14ac:dyDescent="0.3">
      <c r="A19" s="24" t="str">
        <f t="shared" si="1"/>
        <v>Pool 6</v>
      </c>
    </row>
    <row r="20" spans="1:21" x14ac:dyDescent="0.3">
      <c r="A20" s="24" t="str">
        <f t="shared" si="1"/>
        <v>Pool 7</v>
      </c>
    </row>
    <row r="21" spans="1:21" x14ac:dyDescent="0.3">
      <c r="A21" s="24" t="str">
        <f t="shared" si="1"/>
        <v>Pool 8</v>
      </c>
    </row>
    <row r="23" spans="1:21" x14ac:dyDescent="0.3">
      <c r="A23" s="121" t="s">
        <v>72</v>
      </c>
      <c r="B23" s="121"/>
      <c r="C23" s="121"/>
      <c r="D23" s="121"/>
      <c r="E23" s="121"/>
    </row>
    <row r="24" spans="1:21" x14ac:dyDescent="0.3">
      <c r="A24" s="120" t="str">
        <f t="shared" ref="A24:A32" si="2">A13</f>
        <v>Group Stage</v>
      </c>
      <c r="B24" s="120"/>
      <c r="C24" s="120"/>
      <c r="D24" s="120"/>
      <c r="E24" s="120"/>
      <c r="H24" s="120" t="s">
        <v>447</v>
      </c>
      <c r="I24" s="120"/>
      <c r="L24" s="120" t="s">
        <v>40</v>
      </c>
      <c r="M24" s="120"/>
      <c r="P24" s="120" t="s">
        <v>43</v>
      </c>
      <c r="Q24" s="120"/>
      <c r="T24" s="120" t="s">
        <v>41</v>
      </c>
      <c r="U24" s="120"/>
    </row>
    <row r="25" spans="1:21" x14ac:dyDescent="0.3">
      <c r="A25" s="24" t="str">
        <f t="shared" si="2"/>
        <v>Pool 1</v>
      </c>
      <c r="B25" s="26" cm="1">
        <f t="array" ref="B25:E25">TRANSPOSE(Groups!B12:B15)</f>
        <v>0</v>
      </c>
      <c r="C25" s="90">
        <v>0</v>
      </c>
      <c r="D25" s="26">
        <v>0</v>
      </c>
      <c r="E25" s="90">
        <v>0</v>
      </c>
      <c r="G25" s="24" t="s">
        <v>458</v>
      </c>
      <c r="H25" s="26">
        <f>B25</f>
        <v>0</v>
      </c>
      <c r="I25" s="90">
        <f>D26</f>
        <v>0</v>
      </c>
      <c r="K25" s="24" t="s">
        <v>463</v>
      </c>
      <c r="L25" s="26">
        <f>H25</f>
        <v>0</v>
      </c>
      <c r="M25" s="90">
        <f>H32</f>
        <v>0</v>
      </c>
      <c r="O25" s="24" t="s">
        <v>426</v>
      </c>
      <c r="P25" s="26">
        <f>L25</f>
        <v>0</v>
      </c>
      <c r="Q25" s="90">
        <f>L28</f>
        <v>0</v>
      </c>
      <c r="S25" s="24" t="s">
        <v>422</v>
      </c>
      <c r="T25" s="26">
        <f>P25</f>
        <v>0</v>
      </c>
      <c r="U25" s="26">
        <f>P26</f>
        <v>0</v>
      </c>
    </row>
    <row r="26" spans="1:21" x14ac:dyDescent="0.3">
      <c r="A26" s="24" t="str">
        <f t="shared" si="2"/>
        <v>Pool 2</v>
      </c>
      <c r="B26" s="26" cm="1">
        <f t="array" ref="B26:E26">TRANSPOSE(Groups!C12:C15)</f>
        <v>0</v>
      </c>
      <c r="C26" s="90">
        <v>0</v>
      </c>
      <c r="D26" s="26">
        <v>0</v>
      </c>
      <c r="E26" s="90">
        <v>0</v>
      </c>
      <c r="G26" s="24" t="str">
        <f>G25</f>
        <v>Pool 1 vs 2</v>
      </c>
      <c r="H26" s="26">
        <f>D25</f>
        <v>0</v>
      </c>
      <c r="I26" s="90">
        <f>B26</f>
        <v>0</v>
      </c>
      <c r="K26" s="24" t="s">
        <v>462</v>
      </c>
      <c r="L26" s="26">
        <f>H26</f>
        <v>0</v>
      </c>
      <c r="M26" s="90">
        <f>H31</f>
        <v>0</v>
      </c>
      <c r="O26" s="24" t="s">
        <v>434</v>
      </c>
      <c r="P26" s="26">
        <f>L26</f>
        <v>0</v>
      </c>
      <c r="Q26" s="90">
        <f>L27</f>
        <v>0</v>
      </c>
    </row>
    <row r="27" spans="1:21" x14ac:dyDescent="0.3">
      <c r="A27" s="24" t="str">
        <f t="shared" si="2"/>
        <v>Pool 3</v>
      </c>
      <c r="B27" s="26" cm="1">
        <f t="array" ref="B27:E27">TRANSPOSE(Groups!D12:D15)</f>
        <v>0</v>
      </c>
      <c r="C27" s="90">
        <v>0</v>
      </c>
      <c r="D27" s="26">
        <v>0</v>
      </c>
      <c r="E27" s="90">
        <v>0</v>
      </c>
      <c r="G27" s="24" t="s">
        <v>454</v>
      </c>
      <c r="H27" s="26">
        <f>B27</f>
        <v>0</v>
      </c>
      <c r="I27" s="90">
        <f>D28</f>
        <v>0</v>
      </c>
      <c r="K27" s="24" t="s">
        <v>461</v>
      </c>
      <c r="L27" s="26">
        <f>H27</f>
        <v>0</v>
      </c>
      <c r="M27" s="90">
        <f>H30</f>
        <v>0</v>
      </c>
    </row>
    <row r="28" spans="1:21" x14ac:dyDescent="0.3">
      <c r="A28" s="24" t="str">
        <f t="shared" si="2"/>
        <v>Pool 4</v>
      </c>
      <c r="B28" s="26" cm="1">
        <f t="array" ref="B28:E28">TRANSPOSE(Groups!E12:E15)</f>
        <v>0</v>
      </c>
      <c r="C28" s="90">
        <v>0</v>
      </c>
      <c r="D28" s="26">
        <v>0</v>
      </c>
      <c r="E28" s="90">
        <v>0</v>
      </c>
      <c r="G28" s="24" t="str">
        <f>G27</f>
        <v>Pool 3 vs 4</v>
      </c>
      <c r="H28" s="26">
        <f>D27</f>
        <v>0</v>
      </c>
      <c r="I28" s="90">
        <f>B28</f>
        <v>0</v>
      </c>
      <c r="K28" s="24" t="s">
        <v>460</v>
      </c>
      <c r="L28" s="26">
        <f>H28</f>
        <v>0</v>
      </c>
      <c r="M28" s="90">
        <f>H29</f>
        <v>0</v>
      </c>
    </row>
    <row r="29" spans="1:21" x14ac:dyDescent="0.3">
      <c r="A29" s="24" t="str">
        <f t="shared" si="2"/>
        <v>Pool 5</v>
      </c>
      <c r="B29" s="26" cm="1">
        <f t="array" ref="B29:E29">TRANSPOSE(Groups!F12:F15)</f>
        <v>0</v>
      </c>
      <c r="C29" s="90">
        <v>0</v>
      </c>
      <c r="D29" s="26">
        <v>0</v>
      </c>
      <c r="E29" s="90">
        <v>0</v>
      </c>
      <c r="G29" s="24" t="s">
        <v>453</v>
      </c>
      <c r="H29" s="26">
        <f>B29</f>
        <v>0</v>
      </c>
      <c r="I29" s="90">
        <f>D30</f>
        <v>0</v>
      </c>
    </row>
    <row r="30" spans="1:21" x14ac:dyDescent="0.3">
      <c r="A30" s="24" t="str">
        <f t="shared" si="2"/>
        <v>Pool 6</v>
      </c>
      <c r="B30" s="26" cm="1">
        <f t="array" ref="B30:E30">TRANSPOSE(Groups!G12:G15)</f>
        <v>0</v>
      </c>
      <c r="C30" s="90">
        <v>0</v>
      </c>
      <c r="D30" s="26">
        <v>0</v>
      </c>
      <c r="E30" s="90">
        <v>0</v>
      </c>
      <c r="G30" s="24" t="str">
        <f>G29</f>
        <v>Pool 5 vs 6</v>
      </c>
      <c r="H30" s="26">
        <f>D29</f>
        <v>0</v>
      </c>
      <c r="I30" s="90">
        <f>B30</f>
        <v>0</v>
      </c>
    </row>
    <row r="31" spans="1:21" x14ac:dyDescent="0.3">
      <c r="A31" s="24" t="str">
        <f t="shared" si="2"/>
        <v>Pool 7</v>
      </c>
      <c r="B31" s="26" cm="1">
        <f t="array" ref="B31:E31">TRANSPOSE(Groups!H12:H15)</f>
        <v>0</v>
      </c>
      <c r="C31" s="90">
        <v>0</v>
      </c>
      <c r="D31" s="26">
        <v>0</v>
      </c>
      <c r="E31" s="90">
        <v>0</v>
      </c>
      <c r="G31" s="24" t="s">
        <v>459</v>
      </c>
      <c r="H31" s="26">
        <f>B31</f>
        <v>0</v>
      </c>
      <c r="I31" s="90">
        <f>D32</f>
        <v>0</v>
      </c>
    </row>
    <row r="32" spans="1:21" x14ac:dyDescent="0.3">
      <c r="A32" s="24" t="str">
        <f t="shared" si="2"/>
        <v>Pool 8</v>
      </c>
      <c r="B32" s="26" cm="1">
        <f t="array" ref="B32:E32">TRANSPOSE(Groups!I12:I15)</f>
        <v>0</v>
      </c>
      <c r="C32" s="90">
        <v>0</v>
      </c>
      <c r="D32" s="26">
        <v>0</v>
      </c>
      <c r="E32" s="90">
        <v>0</v>
      </c>
      <c r="G32" s="24" t="str">
        <f>G31</f>
        <v>Pool 7 vs 8</v>
      </c>
      <c r="H32" s="26">
        <f>D31</f>
        <v>0</v>
      </c>
      <c r="I32" s="90">
        <f>B32</f>
        <v>0</v>
      </c>
    </row>
    <row r="34" spans="1:21" x14ac:dyDescent="0.3">
      <c r="A34" s="121" t="s">
        <v>73</v>
      </c>
      <c r="B34" s="121"/>
      <c r="C34" s="121"/>
      <c r="D34" s="121"/>
      <c r="E34" s="121"/>
    </row>
    <row r="35" spans="1:21" x14ac:dyDescent="0.3">
      <c r="A35" s="120" t="str">
        <f t="shared" ref="A35:A43" si="3">A24</f>
        <v>Group Stage</v>
      </c>
      <c r="B35" s="120"/>
      <c r="C35" s="120"/>
      <c r="D35" s="120"/>
      <c r="E35" s="120"/>
      <c r="H35" s="120" t="s">
        <v>447</v>
      </c>
      <c r="I35" s="120"/>
      <c r="L35" s="120" t="s">
        <v>40</v>
      </c>
      <c r="M35" s="120"/>
      <c r="P35" s="120" t="s">
        <v>43</v>
      </c>
      <c r="Q35" s="120"/>
      <c r="T35" s="120" t="s">
        <v>41</v>
      </c>
      <c r="U35" s="120"/>
    </row>
    <row r="36" spans="1:21" x14ac:dyDescent="0.3">
      <c r="A36" s="24" t="str">
        <f t="shared" si="3"/>
        <v>Pool 1</v>
      </c>
      <c r="B36" s="26" cm="1">
        <f t="array" ref="B36:E36">TRANSPOSE(Groups!B17:B20)</f>
        <v>0</v>
      </c>
      <c r="C36" s="90">
        <v>0</v>
      </c>
      <c r="D36" s="26">
        <v>0</v>
      </c>
      <c r="E36" s="90">
        <v>0</v>
      </c>
      <c r="G36" s="24" t="s">
        <v>458</v>
      </c>
      <c r="H36" s="26">
        <f>B36</f>
        <v>0</v>
      </c>
      <c r="I36" s="90">
        <f>D37</f>
        <v>0</v>
      </c>
      <c r="K36" s="24" t="s">
        <v>457</v>
      </c>
      <c r="L36" s="26">
        <f>H36</f>
        <v>0</v>
      </c>
      <c r="M36" s="90">
        <f>H41</f>
        <v>0</v>
      </c>
      <c r="O36" s="24" t="s">
        <v>426</v>
      </c>
      <c r="P36" s="26">
        <f>L36</f>
        <v>0</v>
      </c>
      <c r="Q36" s="90">
        <f>L38</f>
        <v>0</v>
      </c>
      <c r="S36" s="24" t="s">
        <v>422</v>
      </c>
      <c r="T36" s="26">
        <f>P36</f>
        <v>0</v>
      </c>
      <c r="U36" s="26">
        <f>P37</f>
        <v>0</v>
      </c>
    </row>
    <row r="37" spans="1:21" x14ac:dyDescent="0.3">
      <c r="A37" s="24" t="str">
        <f t="shared" si="3"/>
        <v>Pool 2</v>
      </c>
      <c r="B37" s="26" cm="1">
        <f t="array" ref="B37:E37">TRANSPOSE(Groups!C17:C20)</f>
        <v>0</v>
      </c>
      <c r="C37" s="90">
        <v>0</v>
      </c>
      <c r="D37" s="26">
        <v>0</v>
      </c>
      <c r="E37" s="90">
        <v>0</v>
      </c>
      <c r="G37" s="24" t="str">
        <f>G36</f>
        <v>Pool 1 vs 2</v>
      </c>
      <c r="H37" s="26">
        <f>D36</f>
        <v>0</v>
      </c>
      <c r="I37" s="90">
        <f>B37</f>
        <v>0</v>
      </c>
      <c r="K37" s="24" t="s">
        <v>456</v>
      </c>
      <c r="L37" s="26">
        <f>H37</f>
        <v>0</v>
      </c>
      <c r="M37" s="90">
        <f>H40</f>
        <v>0</v>
      </c>
      <c r="O37" s="24" t="s">
        <v>434</v>
      </c>
      <c r="P37" s="26">
        <f>L37</f>
        <v>0</v>
      </c>
      <c r="Q37" s="90" t="s">
        <v>455</v>
      </c>
    </row>
    <row r="38" spans="1:21" x14ac:dyDescent="0.3">
      <c r="A38" s="24" t="str">
        <f t="shared" si="3"/>
        <v>Pool 3</v>
      </c>
      <c r="B38" s="26" cm="1">
        <f t="array" ref="B38:E38">TRANSPOSE(Groups!D17:D20)</f>
        <v>0</v>
      </c>
      <c r="C38" s="90">
        <v>0</v>
      </c>
      <c r="D38" s="26">
        <v>0</v>
      </c>
      <c r="E38" s="90">
        <v>0</v>
      </c>
      <c r="G38" s="24" t="s">
        <v>454</v>
      </c>
      <c r="H38" s="26">
        <f>B38</f>
        <v>0</v>
      </c>
      <c r="I38" s="90">
        <f>D39</f>
        <v>0</v>
      </c>
      <c r="K38" s="24" t="s">
        <v>454</v>
      </c>
      <c r="L38" s="26">
        <f>H38</f>
        <v>0</v>
      </c>
      <c r="M38" s="90">
        <f>H39</f>
        <v>0</v>
      </c>
    </row>
    <row r="39" spans="1:21" x14ac:dyDescent="0.3">
      <c r="A39" s="24" t="str">
        <f t="shared" si="3"/>
        <v>Pool 4</v>
      </c>
      <c r="B39" s="26" cm="1">
        <f t="array" ref="B39:E39">TRANSPOSE(Groups!E17:E20)</f>
        <v>0</v>
      </c>
      <c r="C39" s="90">
        <v>0</v>
      </c>
      <c r="D39" s="26">
        <v>0</v>
      </c>
      <c r="E39" s="90">
        <v>0</v>
      </c>
      <c r="G39" s="24" t="str">
        <f>G38</f>
        <v>Pool 3 vs 4</v>
      </c>
      <c r="H39" s="26">
        <f>D38</f>
        <v>0</v>
      </c>
      <c r="I39" s="90">
        <f>B39</f>
        <v>0</v>
      </c>
      <c r="L39" s="26"/>
      <c r="M39" s="90"/>
    </row>
    <row r="40" spans="1:21" x14ac:dyDescent="0.3">
      <c r="A40" s="24" t="str">
        <f t="shared" si="3"/>
        <v>Pool 5</v>
      </c>
      <c r="B40" s="26" cm="1">
        <f t="array" ref="B40:E40">TRANSPOSE(Groups!F17:F20)</f>
        <v>0</v>
      </c>
      <c r="C40" s="90">
        <v>0</v>
      </c>
      <c r="D40" s="26">
        <v>0</v>
      </c>
      <c r="E40" s="90">
        <v>0</v>
      </c>
      <c r="G40" s="24" t="s">
        <v>453</v>
      </c>
      <c r="H40" s="26">
        <f>B40</f>
        <v>0</v>
      </c>
      <c r="I40" s="90">
        <f>D41</f>
        <v>0</v>
      </c>
    </row>
    <row r="41" spans="1:21" x14ac:dyDescent="0.3">
      <c r="A41" s="24" t="str">
        <f t="shared" si="3"/>
        <v>Pool 6</v>
      </c>
      <c r="B41" s="26" cm="1">
        <f t="array" ref="B41:E41">TRANSPOSE(Groups!G17:G20)</f>
        <v>0</v>
      </c>
      <c r="C41" s="90">
        <v>0</v>
      </c>
      <c r="D41" s="26">
        <v>0</v>
      </c>
      <c r="E41" s="90">
        <v>0</v>
      </c>
      <c r="G41" s="24" t="str">
        <f>G40</f>
        <v>Pool 5 vs 6</v>
      </c>
      <c r="H41" s="26">
        <f>D40</f>
        <v>0</v>
      </c>
      <c r="I41" s="90">
        <f>B41</f>
        <v>0</v>
      </c>
    </row>
    <row r="42" spans="1:21" x14ac:dyDescent="0.3">
      <c r="A42" s="24" t="str">
        <f t="shared" si="3"/>
        <v>Pool 7</v>
      </c>
      <c r="B42" s="26"/>
      <c r="C42" s="90"/>
      <c r="D42" s="26"/>
      <c r="E42" s="90"/>
      <c r="H42" s="26"/>
      <c r="I42" s="90"/>
    </row>
    <row r="43" spans="1:21" x14ac:dyDescent="0.3">
      <c r="A43" s="24" t="str">
        <f t="shared" si="3"/>
        <v>Pool 8</v>
      </c>
      <c r="B43" s="26"/>
      <c r="C43" s="90"/>
      <c r="D43" s="26"/>
      <c r="E43" s="90"/>
      <c r="H43" s="26"/>
      <c r="I43" s="90"/>
    </row>
    <row r="45" spans="1:21" x14ac:dyDescent="0.3">
      <c r="A45" s="121" t="s">
        <v>74</v>
      </c>
      <c r="B45" s="121"/>
      <c r="C45" s="121"/>
      <c r="D45" s="121"/>
      <c r="E45" s="121"/>
    </row>
    <row r="46" spans="1:21" x14ac:dyDescent="0.3">
      <c r="A46" s="120" t="str">
        <f t="shared" ref="A46:A54" si="4">A35</f>
        <v>Group Stage</v>
      </c>
      <c r="B46" s="120"/>
      <c r="C46" s="120"/>
      <c r="D46" s="120"/>
      <c r="E46" s="120"/>
      <c r="H46" s="120" t="s">
        <v>447</v>
      </c>
      <c r="I46" s="120"/>
      <c r="L46" s="120" t="s">
        <v>40</v>
      </c>
      <c r="M46" s="120"/>
      <c r="P46" s="120" t="s">
        <v>43</v>
      </c>
      <c r="Q46" s="120"/>
      <c r="T46" s="120" t="s">
        <v>41</v>
      </c>
      <c r="U46" s="120"/>
    </row>
    <row r="47" spans="1:21" x14ac:dyDescent="0.3">
      <c r="A47" s="24" t="str">
        <f t="shared" si="4"/>
        <v>Pool 1</v>
      </c>
      <c r="B47" s="26" cm="1">
        <f t="array" ref="B47:E47">TRANSPOSE(Groups!B22:B25)</f>
        <v>0</v>
      </c>
      <c r="C47" s="90">
        <v>0</v>
      </c>
      <c r="D47" s="26">
        <v>0</v>
      </c>
      <c r="E47" s="90">
        <v>0</v>
      </c>
      <c r="G47" s="24" t="s">
        <v>458</v>
      </c>
      <c r="H47" s="26">
        <f>B47</f>
        <v>0</v>
      </c>
      <c r="I47" s="90">
        <f>D48</f>
        <v>0</v>
      </c>
      <c r="K47" s="24" t="s">
        <v>457</v>
      </c>
      <c r="L47" s="26">
        <f>H47</f>
        <v>0</v>
      </c>
      <c r="M47" s="90">
        <f>H52</f>
        <v>0</v>
      </c>
      <c r="O47" s="24" t="s">
        <v>426</v>
      </c>
      <c r="P47" s="26">
        <f>L47</f>
        <v>0</v>
      </c>
      <c r="Q47" s="90">
        <f>L49</f>
        <v>0</v>
      </c>
      <c r="S47" s="24" t="s">
        <v>422</v>
      </c>
      <c r="T47" s="26">
        <f>P47</f>
        <v>0</v>
      </c>
      <c r="U47" s="26">
        <f>P48</f>
        <v>0</v>
      </c>
    </row>
    <row r="48" spans="1:21" x14ac:dyDescent="0.3">
      <c r="A48" s="24" t="str">
        <f t="shared" si="4"/>
        <v>Pool 2</v>
      </c>
      <c r="B48" s="26" cm="1">
        <f t="array" ref="B48:E48">TRANSPOSE(Groups!C22:C25)</f>
        <v>0</v>
      </c>
      <c r="C48" s="90">
        <v>0</v>
      </c>
      <c r="D48" s="26">
        <v>0</v>
      </c>
      <c r="E48" s="90">
        <v>0</v>
      </c>
      <c r="G48" s="24" t="str">
        <f>G47</f>
        <v>Pool 1 vs 2</v>
      </c>
      <c r="H48" s="26">
        <f>D47</f>
        <v>0</v>
      </c>
      <c r="I48" s="90">
        <f>B48</f>
        <v>0</v>
      </c>
      <c r="K48" s="24" t="s">
        <v>456</v>
      </c>
      <c r="L48" s="26">
        <f>H48</f>
        <v>0</v>
      </c>
      <c r="M48" s="90">
        <f>H51</f>
        <v>0</v>
      </c>
      <c r="O48" s="24" t="s">
        <v>434</v>
      </c>
      <c r="P48" s="26">
        <f>L48</f>
        <v>0</v>
      </c>
      <c r="Q48" s="90" t="s">
        <v>455</v>
      </c>
    </row>
    <row r="49" spans="1:17" x14ac:dyDescent="0.3">
      <c r="A49" s="24" t="str">
        <f t="shared" si="4"/>
        <v>Pool 3</v>
      </c>
      <c r="B49" s="26" cm="1">
        <f t="array" ref="B49:E49">TRANSPOSE(Groups!D22:D25)</f>
        <v>0</v>
      </c>
      <c r="C49" s="90">
        <v>0</v>
      </c>
      <c r="D49" s="26">
        <v>0</v>
      </c>
      <c r="E49" s="90">
        <v>0</v>
      </c>
      <c r="G49" s="24" t="s">
        <v>454</v>
      </c>
      <c r="H49" s="26">
        <f>B49</f>
        <v>0</v>
      </c>
      <c r="I49" s="90">
        <f>D50</f>
        <v>0</v>
      </c>
      <c r="K49" s="24" t="s">
        <v>454</v>
      </c>
      <c r="L49" s="26">
        <f>H49</f>
        <v>0</v>
      </c>
      <c r="M49" s="90">
        <f>H50</f>
        <v>0</v>
      </c>
    </row>
    <row r="50" spans="1:17" x14ac:dyDescent="0.3">
      <c r="A50" s="24" t="str">
        <f t="shared" si="4"/>
        <v>Pool 4</v>
      </c>
      <c r="B50" s="26" cm="1">
        <f t="array" ref="B50:E50">TRANSPOSE(Groups!E22:E25)</f>
        <v>0</v>
      </c>
      <c r="C50" s="90">
        <v>0</v>
      </c>
      <c r="D50" s="26">
        <v>0</v>
      </c>
      <c r="E50" s="90">
        <v>0</v>
      </c>
      <c r="G50" s="24" t="str">
        <f>G49</f>
        <v>Pool 3 vs 4</v>
      </c>
      <c r="H50" s="26">
        <f>D49</f>
        <v>0</v>
      </c>
      <c r="I50" s="90">
        <f>B50</f>
        <v>0</v>
      </c>
      <c r="L50" s="26"/>
      <c r="M50" s="90"/>
    </row>
    <row r="51" spans="1:17" x14ac:dyDescent="0.3">
      <c r="A51" s="24" t="str">
        <f t="shared" si="4"/>
        <v>Pool 5</v>
      </c>
      <c r="B51" s="26" cm="1">
        <f t="array" ref="B51:E51">TRANSPOSE(Groups!F22:F25)</f>
        <v>0</v>
      </c>
      <c r="C51" s="90">
        <v>0</v>
      </c>
      <c r="D51" s="26">
        <v>0</v>
      </c>
      <c r="E51" s="90">
        <v>0</v>
      </c>
      <c r="G51" s="24" t="s">
        <v>453</v>
      </c>
      <c r="H51" s="26">
        <f>B51</f>
        <v>0</v>
      </c>
      <c r="I51" s="90">
        <f>D52</f>
        <v>0</v>
      </c>
    </row>
    <row r="52" spans="1:17" x14ac:dyDescent="0.3">
      <c r="A52" s="24" t="str">
        <f t="shared" si="4"/>
        <v>Pool 6</v>
      </c>
      <c r="B52" s="26" cm="1">
        <f t="array" ref="B52:E52">TRANSPOSE(Groups!G22:G25)</f>
        <v>0</v>
      </c>
      <c r="C52" s="90">
        <v>0</v>
      </c>
      <c r="D52" s="26">
        <v>0</v>
      </c>
      <c r="E52" s="90">
        <v>0</v>
      </c>
      <c r="G52" s="24" t="str">
        <f>G51</f>
        <v>Pool 5 vs 6</v>
      </c>
      <c r="H52" s="26">
        <f>D51</f>
        <v>0</v>
      </c>
      <c r="I52" s="90">
        <f>B52</f>
        <v>0</v>
      </c>
    </row>
    <row r="53" spans="1:17" x14ac:dyDescent="0.3">
      <c r="A53" s="24" t="str">
        <f t="shared" si="4"/>
        <v>Pool 7</v>
      </c>
      <c r="B53" s="26"/>
      <c r="C53" s="90"/>
      <c r="D53" s="26"/>
      <c r="E53" s="90"/>
      <c r="H53" s="26"/>
      <c r="I53" s="90"/>
    </row>
    <row r="54" spans="1:17" x14ac:dyDescent="0.3">
      <c r="A54" s="24" t="str">
        <f t="shared" si="4"/>
        <v>Pool 8</v>
      </c>
      <c r="B54" s="26"/>
      <c r="C54" s="90"/>
      <c r="D54" s="26"/>
      <c r="E54" s="90"/>
      <c r="H54" s="26"/>
      <c r="I54" s="90"/>
    </row>
    <row r="56" spans="1:17" x14ac:dyDescent="0.3">
      <c r="A56" s="121" t="s">
        <v>66</v>
      </c>
      <c r="B56" s="121"/>
      <c r="C56" s="121"/>
      <c r="D56" s="121"/>
      <c r="E56" s="121"/>
    </row>
    <row r="57" spans="1:17" x14ac:dyDescent="0.3">
      <c r="A57" s="120" t="str">
        <f t="shared" ref="A57:A65" si="5">A46</f>
        <v>Group Stage</v>
      </c>
      <c r="B57" s="120"/>
      <c r="C57" s="120"/>
      <c r="D57" s="120"/>
      <c r="E57" s="120"/>
      <c r="H57" s="120" t="s">
        <v>40</v>
      </c>
      <c r="I57" s="120"/>
      <c r="L57" s="120" t="s">
        <v>43</v>
      </c>
      <c r="M57" s="120"/>
      <c r="P57" s="120" t="s">
        <v>41</v>
      </c>
      <c r="Q57" s="120"/>
    </row>
    <row r="58" spans="1:17" x14ac:dyDescent="0.3">
      <c r="A58" s="24" t="str">
        <f t="shared" si="5"/>
        <v>Pool 1</v>
      </c>
      <c r="B58" s="26" cm="1">
        <f t="array" ref="B58:E58">TRANSPOSE(Groups!B27:B30)</f>
        <v>0</v>
      </c>
      <c r="C58" s="90">
        <v>0</v>
      </c>
      <c r="D58" s="26">
        <v>0</v>
      </c>
      <c r="E58" s="90">
        <v>0</v>
      </c>
      <c r="G58" s="24" t="s">
        <v>466</v>
      </c>
      <c r="H58" s="26">
        <f>B58</f>
        <v>0</v>
      </c>
      <c r="I58" s="90">
        <f>D60</f>
        <v>0</v>
      </c>
      <c r="K58" s="24" t="s">
        <v>458</v>
      </c>
      <c r="L58" s="26">
        <f>H58</f>
        <v>0</v>
      </c>
      <c r="M58" s="90">
        <f>H59</f>
        <v>0</v>
      </c>
      <c r="O58" s="24" t="s">
        <v>458</v>
      </c>
      <c r="P58" s="26">
        <f>L58</f>
        <v>0</v>
      </c>
      <c r="Q58" s="26">
        <f>L59</f>
        <v>0</v>
      </c>
    </row>
    <row r="59" spans="1:17" x14ac:dyDescent="0.3">
      <c r="A59" s="24" t="str">
        <f t="shared" si="5"/>
        <v>Pool 2</v>
      </c>
      <c r="B59" s="26" cm="1">
        <f t="array" ref="B59:E59">TRANSPOSE(Groups!C27:C30)</f>
        <v>0</v>
      </c>
      <c r="C59" s="90">
        <v>0</v>
      </c>
      <c r="D59" s="26">
        <v>0</v>
      </c>
      <c r="E59" s="90">
        <v>0</v>
      </c>
      <c r="G59" s="24" t="s">
        <v>465</v>
      </c>
      <c r="H59" s="26">
        <f>B59</f>
        <v>0</v>
      </c>
      <c r="I59" s="90">
        <f>D58</f>
        <v>0</v>
      </c>
      <c r="K59" s="24" t="s">
        <v>454</v>
      </c>
      <c r="L59" s="26">
        <f>H60</f>
        <v>0</v>
      </c>
      <c r="M59" s="90" t="s">
        <v>455</v>
      </c>
    </row>
    <row r="60" spans="1:17" x14ac:dyDescent="0.3">
      <c r="A60" s="24" t="str">
        <f t="shared" si="5"/>
        <v>Pool 3</v>
      </c>
      <c r="B60" s="26" cm="1">
        <f t="array" ref="B60:E60">TRANSPOSE(Groups!D27:D30)</f>
        <v>0</v>
      </c>
      <c r="C60" s="90">
        <v>0</v>
      </c>
      <c r="D60" s="26">
        <v>0</v>
      </c>
      <c r="E60" s="90">
        <v>0</v>
      </c>
      <c r="G60" s="24" t="s">
        <v>464</v>
      </c>
      <c r="H60" s="26">
        <f>B60</f>
        <v>0</v>
      </c>
      <c r="I60" s="90">
        <f>D59</f>
        <v>0</v>
      </c>
    </row>
    <row r="61" spans="1:17" x14ac:dyDescent="0.3">
      <c r="A61" s="24" t="str">
        <f t="shared" si="5"/>
        <v>Pool 4</v>
      </c>
    </row>
    <row r="62" spans="1:17" x14ac:dyDescent="0.3">
      <c r="A62" s="24" t="str">
        <f t="shared" si="5"/>
        <v>Pool 5</v>
      </c>
    </row>
    <row r="63" spans="1:17" x14ac:dyDescent="0.3">
      <c r="A63" s="24" t="str">
        <f t="shared" si="5"/>
        <v>Pool 6</v>
      </c>
    </row>
    <row r="64" spans="1:17" x14ac:dyDescent="0.3">
      <c r="A64" s="24" t="str">
        <f t="shared" si="5"/>
        <v>Pool 7</v>
      </c>
    </row>
    <row r="65" spans="1:21" x14ac:dyDescent="0.3">
      <c r="A65" s="24" t="str">
        <f t="shared" si="5"/>
        <v>Pool 8</v>
      </c>
    </row>
    <row r="67" spans="1:21" x14ac:dyDescent="0.3">
      <c r="A67" s="121" t="s">
        <v>51</v>
      </c>
      <c r="B67" s="121"/>
      <c r="C67" s="121"/>
      <c r="D67" s="121"/>
      <c r="E67" s="121"/>
    </row>
    <row r="68" spans="1:21" x14ac:dyDescent="0.3">
      <c r="A68" s="120" t="str">
        <f t="shared" ref="A68:A76" si="6">A13</f>
        <v>Group Stage</v>
      </c>
      <c r="B68" s="120"/>
      <c r="C68" s="120"/>
      <c r="D68" s="120"/>
      <c r="E68" s="120"/>
      <c r="H68" s="120" t="s">
        <v>447</v>
      </c>
      <c r="I68" s="120"/>
      <c r="L68" s="120" t="s">
        <v>40</v>
      </c>
      <c r="M68" s="120"/>
      <c r="P68" s="120" t="s">
        <v>43</v>
      </c>
      <c r="Q68" s="120"/>
      <c r="T68" s="120" t="s">
        <v>41</v>
      </c>
      <c r="U68" s="120"/>
    </row>
    <row r="69" spans="1:21" x14ac:dyDescent="0.3">
      <c r="A69" s="24" t="str">
        <f t="shared" si="6"/>
        <v>Pool 1</v>
      </c>
      <c r="B69" s="26" t="str" cm="1">
        <f t="array" ref="B69:E69">TRANSPOSE(Groups!B32:B35)</f>
        <v>Rajib Sengupta / Antriksh Gala</v>
      </c>
      <c r="C69" s="91" t="str">
        <v>Pratik Bhagat / Godfrey Kattancherry</v>
      </c>
      <c r="D69" s="24">
        <v>0</v>
      </c>
      <c r="E69" s="91">
        <v>0</v>
      </c>
      <c r="G69" s="24" t="s">
        <v>458</v>
      </c>
      <c r="H69" s="26" t="str">
        <f t="shared" ref="H69:H74" si="7">B69</f>
        <v>Rajib Sengupta / Antriksh Gala</v>
      </c>
      <c r="I69" s="90">
        <f>D70</f>
        <v>0</v>
      </c>
      <c r="K69" s="24" t="s">
        <v>457</v>
      </c>
      <c r="L69" s="26" t="str">
        <f>H69</f>
        <v>Rajib Sengupta / Antriksh Gala</v>
      </c>
      <c r="M69" s="90">
        <f>H74</f>
        <v>0</v>
      </c>
      <c r="O69" s="24" t="s">
        <v>426</v>
      </c>
      <c r="P69" s="26" t="str">
        <f>L69</f>
        <v>Rajib Sengupta / Antriksh Gala</v>
      </c>
      <c r="Q69" s="90">
        <f>L71</f>
        <v>0</v>
      </c>
      <c r="S69" s="24" t="s">
        <v>422</v>
      </c>
      <c r="T69" s="26" t="str">
        <f>P69</f>
        <v>Rajib Sengupta / Antriksh Gala</v>
      </c>
      <c r="U69" s="26">
        <f>P70</f>
        <v>0</v>
      </c>
    </row>
    <row r="70" spans="1:21" x14ac:dyDescent="0.3">
      <c r="A70" s="24" t="str">
        <f t="shared" si="6"/>
        <v>Pool 2</v>
      </c>
      <c r="B70" s="26" cm="1">
        <f t="array" ref="B70:E70">TRANSPOSE(Groups!C32:C35)</f>
        <v>0</v>
      </c>
      <c r="C70" s="91">
        <v>0</v>
      </c>
      <c r="D70" s="24">
        <v>0</v>
      </c>
      <c r="E70" s="91">
        <v>0</v>
      </c>
      <c r="G70" s="24" t="s">
        <v>458</v>
      </c>
      <c r="H70" s="26">
        <f t="shared" si="7"/>
        <v>0</v>
      </c>
      <c r="I70" s="90">
        <f>D69</f>
        <v>0</v>
      </c>
      <c r="K70" s="24" t="s">
        <v>456</v>
      </c>
      <c r="L70" s="26">
        <f>H70</f>
        <v>0</v>
      </c>
      <c r="M70" s="90">
        <f>H73</f>
        <v>0</v>
      </c>
      <c r="O70" s="24" t="s">
        <v>434</v>
      </c>
      <c r="P70" s="26">
        <f>L70</f>
        <v>0</v>
      </c>
      <c r="Q70" s="90" t="s">
        <v>455</v>
      </c>
    </row>
    <row r="71" spans="1:21" x14ac:dyDescent="0.3">
      <c r="A71" s="24" t="str">
        <f t="shared" si="6"/>
        <v>Pool 3</v>
      </c>
      <c r="B71" s="26" cm="1">
        <f t="array" ref="B71:E71">TRANSPOSE(Groups!D32:D35)</f>
        <v>0</v>
      </c>
      <c r="C71" s="91">
        <v>0</v>
      </c>
      <c r="D71" s="24">
        <v>0</v>
      </c>
      <c r="E71" s="91">
        <v>0</v>
      </c>
      <c r="G71" s="24" t="s">
        <v>454</v>
      </c>
      <c r="H71" s="26">
        <f t="shared" si="7"/>
        <v>0</v>
      </c>
      <c r="I71" s="90">
        <f>D72</f>
        <v>0</v>
      </c>
      <c r="K71" s="24" t="s">
        <v>454</v>
      </c>
      <c r="L71" s="26">
        <f>H71</f>
        <v>0</v>
      </c>
      <c r="M71" s="90">
        <f>H72</f>
        <v>0</v>
      </c>
    </row>
    <row r="72" spans="1:21" x14ac:dyDescent="0.3">
      <c r="A72" s="24" t="str">
        <f t="shared" si="6"/>
        <v>Pool 4</v>
      </c>
      <c r="B72" s="26" cm="1">
        <f t="array" ref="B72:E72">TRANSPOSE(Groups!E32:E35)</f>
        <v>0</v>
      </c>
      <c r="C72" s="91">
        <v>0</v>
      </c>
      <c r="D72" s="24">
        <v>0</v>
      </c>
      <c r="E72" s="91">
        <v>0</v>
      </c>
      <c r="G72" s="24" t="s">
        <v>454</v>
      </c>
      <c r="H72" s="26">
        <f t="shared" si="7"/>
        <v>0</v>
      </c>
      <c r="I72" s="90">
        <f>D71</f>
        <v>0</v>
      </c>
    </row>
    <row r="73" spans="1:21" x14ac:dyDescent="0.3">
      <c r="A73" s="24" t="str">
        <f t="shared" si="6"/>
        <v>Pool 5</v>
      </c>
      <c r="B73" s="26" cm="1">
        <f t="array" ref="B73:E73">TRANSPOSE(Groups!F32:F35)</f>
        <v>0</v>
      </c>
      <c r="C73" s="91">
        <v>0</v>
      </c>
      <c r="D73" s="24">
        <v>0</v>
      </c>
      <c r="E73" s="91">
        <v>0</v>
      </c>
      <c r="G73" s="24" t="s">
        <v>453</v>
      </c>
      <c r="H73" s="26">
        <f t="shared" si="7"/>
        <v>0</v>
      </c>
      <c r="I73" s="90">
        <f>D74</f>
        <v>0</v>
      </c>
    </row>
    <row r="74" spans="1:21" x14ac:dyDescent="0.3">
      <c r="A74" s="24" t="str">
        <f t="shared" si="6"/>
        <v>Pool 6</v>
      </c>
      <c r="B74" s="26" cm="1">
        <f t="array" ref="B74:E74">TRANSPOSE(Groups!G32:G35)</f>
        <v>0</v>
      </c>
      <c r="C74" s="91">
        <v>0</v>
      </c>
      <c r="D74" s="24">
        <v>0</v>
      </c>
      <c r="E74" s="91">
        <v>0</v>
      </c>
      <c r="G74" s="24" t="s">
        <v>453</v>
      </c>
      <c r="H74" s="26">
        <f t="shared" si="7"/>
        <v>0</v>
      </c>
      <c r="I74" s="90">
        <f>D73</f>
        <v>0</v>
      </c>
    </row>
    <row r="75" spans="1:21" x14ac:dyDescent="0.3">
      <c r="A75" s="24" t="str">
        <f t="shared" si="6"/>
        <v>Pool 7</v>
      </c>
      <c r="B75" s="26"/>
      <c r="C75" s="91"/>
      <c r="E75" s="91"/>
      <c r="H75" s="26"/>
      <c r="I75" s="90"/>
    </row>
    <row r="76" spans="1:21" x14ac:dyDescent="0.3">
      <c r="A76" s="24" t="str">
        <f t="shared" si="6"/>
        <v>Pool 8</v>
      </c>
      <c r="B76" s="26"/>
      <c r="C76" s="91"/>
      <c r="E76" s="91"/>
      <c r="H76" s="26"/>
      <c r="I76" s="90"/>
    </row>
    <row r="78" spans="1:21" x14ac:dyDescent="0.3">
      <c r="A78" s="121" t="s">
        <v>52</v>
      </c>
      <c r="B78" s="121"/>
      <c r="C78" s="121"/>
      <c r="D78" s="121"/>
      <c r="E78" s="121"/>
    </row>
    <row r="79" spans="1:21" x14ac:dyDescent="0.3">
      <c r="A79" s="120">
        <f>A22</f>
        <v>0</v>
      </c>
      <c r="B79" s="120"/>
      <c r="C79" s="120"/>
      <c r="D79" s="120"/>
      <c r="E79" s="120"/>
      <c r="H79" s="120" t="s">
        <v>447</v>
      </c>
      <c r="I79" s="120"/>
      <c r="L79" s="120" t="s">
        <v>40</v>
      </c>
      <c r="M79" s="120"/>
      <c r="P79" s="120" t="s">
        <v>43</v>
      </c>
      <c r="Q79" s="120"/>
      <c r="T79" s="120" t="s">
        <v>41</v>
      </c>
      <c r="U79" s="120"/>
    </row>
    <row r="80" spans="1:21" x14ac:dyDescent="0.3">
      <c r="A80" s="24" t="str">
        <f t="shared" ref="A80:A87" si="8">A69</f>
        <v>Pool 1</v>
      </c>
      <c r="B80" s="26" t="str" cm="1">
        <f t="array" ref="B80:E80">TRANSPOSE(Groups!B37:B40)</f>
        <v>Sanjay Gatti / Prabhakar Ghadge</v>
      </c>
      <c r="C80" s="91" t="str">
        <v>Yash Salvi / Chaitanya Hirlekar</v>
      </c>
      <c r="D80" s="24">
        <v>0</v>
      </c>
      <c r="E80" s="91">
        <v>0</v>
      </c>
      <c r="G80" s="24" t="s">
        <v>458</v>
      </c>
      <c r="H80" s="26" t="str">
        <f>B80</f>
        <v>Sanjay Gatti / Prabhakar Ghadge</v>
      </c>
      <c r="I80" s="90">
        <f>D81</f>
        <v>0</v>
      </c>
      <c r="K80" s="24" t="s">
        <v>463</v>
      </c>
      <c r="L80" s="26" t="str">
        <f>H80</f>
        <v>Sanjay Gatti / Prabhakar Ghadge</v>
      </c>
      <c r="M80" s="90">
        <f>H87</f>
        <v>0</v>
      </c>
      <c r="O80" s="24" t="s">
        <v>426</v>
      </c>
      <c r="P80" s="26" t="str">
        <f>L80</f>
        <v>Sanjay Gatti / Prabhakar Ghadge</v>
      </c>
      <c r="Q80" s="90">
        <f>L83</f>
        <v>0</v>
      </c>
      <c r="S80" s="24" t="s">
        <v>422</v>
      </c>
      <c r="T80" s="26" t="str">
        <f>P80</f>
        <v>Sanjay Gatti / Prabhakar Ghadge</v>
      </c>
      <c r="U80" s="26">
        <f>P81</f>
        <v>0</v>
      </c>
    </row>
    <row r="81" spans="1:21" x14ac:dyDescent="0.3">
      <c r="A81" s="24" t="str">
        <f t="shared" si="8"/>
        <v>Pool 2</v>
      </c>
      <c r="B81" s="26" cm="1">
        <f t="array" ref="B81:E81">TRANSPOSE(Groups!C37:C40)</f>
        <v>0</v>
      </c>
      <c r="C81" s="91">
        <v>0</v>
      </c>
      <c r="D81" s="24">
        <v>0</v>
      </c>
      <c r="E81" s="91">
        <v>0</v>
      </c>
      <c r="G81" s="24" t="str">
        <f>G80</f>
        <v>Pool 1 vs 2</v>
      </c>
      <c r="H81" s="26">
        <f>D80</f>
        <v>0</v>
      </c>
      <c r="I81" s="90">
        <f>B81</f>
        <v>0</v>
      </c>
      <c r="K81" s="24" t="s">
        <v>462</v>
      </c>
      <c r="L81" s="26">
        <f>H81</f>
        <v>0</v>
      </c>
      <c r="M81" s="90">
        <f>H86</f>
        <v>0</v>
      </c>
      <c r="O81" s="24" t="s">
        <v>434</v>
      </c>
      <c r="P81" s="26">
        <f>L81</f>
        <v>0</v>
      </c>
      <c r="Q81" s="90">
        <f>L82</f>
        <v>0</v>
      </c>
    </row>
    <row r="82" spans="1:21" x14ac:dyDescent="0.3">
      <c r="A82" s="24" t="str">
        <f t="shared" si="8"/>
        <v>Pool 3</v>
      </c>
      <c r="B82" s="26" cm="1">
        <f t="array" ref="B82:E82">TRANSPOSE(Groups!D37:D40)</f>
        <v>0</v>
      </c>
      <c r="C82" s="91">
        <v>0</v>
      </c>
      <c r="D82" s="24">
        <v>0</v>
      </c>
      <c r="E82" s="91">
        <v>0</v>
      </c>
      <c r="G82" s="24" t="s">
        <v>454</v>
      </c>
      <c r="H82" s="26">
        <f>B82</f>
        <v>0</v>
      </c>
      <c r="I82" s="90">
        <f>D83</f>
        <v>0</v>
      </c>
      <c r="K82" s="24" t="s">
        <v>461</v>
      </c>
      <c r="L82" s="26">
        <f>H82</f>
        <v>0</v>
      </c>
      <c r="M82" s="90">
        <f>H85</f>
        <v>0</v>
      </c>
    </row>
    <row r="83" spans="1:21" x14ac:dyDescent="0.3">
      <c r="A83" s="24" t="str">
        <f t="shared" si="8"/>
        <v>Pool 4</v>
      </c>
      <c r="B83" s="26" cm="1">
        <f t="array" ref="B83:E83">TRANSPOSE(Groups!E37:E40)</f>
        <v>0</v>
      </c>
      <c r="C83" s="91">
        <v>0</v>
      </c>
      <c r="D83" s="24">
        <v>0</v>
      </c>
      <c r="E83" s="91">
        <v>0</v>
      </c>
      <c r="G83" s="24" t="str">
        <f>G82</f>
        <v>Pool 3 vs 4</v>
      </c>
      <c r="H83" s="26">
        <f>D82</f>
        <v>0</v>
      </c>
      <c r="I83" s="90">
        <f>B83</f>
        <v>0</v>
      </c>
      <c r="K83" s="24" t="s">
        <v>460</v>
      </c>
      <c r="L83" s="26">
        <f>H83</f>
        <v>0</v>
      </c>
      <c r="M83" s="90">
        <f>H84</f>
        <v>0</v>
      </c>
    </row>
    <row r="84" spans="1:21" x14ac:dyDescent="0.3">
      <c r="A84" s="24" t="str">
        <f t="shared" si="8"/>
        <v>Pool 5</v>
      </c>
      <c r="B84" s="26" cm="1">
        <f t="array" ref="B84:E84">TRANSPOSE(Groups!F37:F40)</f>
        <v>0</v>
      </c>
      <c r="C84" s="91">
        <v>0</v>
      </c>
      <c r="D84" s="24">
        <v>0</v>
      </c>
      <c r="E84" s="91">
        <v>0</v>
      </c>
      <c r="G84" s="24" t="s">
        <v>453</v>
      </c>
      <c r="H84" s="26">
        <f>B84</f>
        <v>0</v>
      </c>
      <c r="I84" s="90">
        <f>D85</f>
        <v>0</v>
      </c>
    </row>
    <row r="85" spans="1:21" x14ac:dyDescent="0.3">
      <c r="A85" s="24" t="str">
        <f t="shared" si="8"/>
        <v>Pool 6</v>
      </c>
      <c r="B85" s="26" cm="1">
        <f t="array" ref="B85:E85">TRANSPOSE(Groups!G37:G40)</f>
        <v>0</v>
      </c>
      <c r="C85" s="91">
        <v>0</v>
      </c>
      <c r="D85" s="24">
        <v>0</v>
      </c>
      <c r="E85" s="91">
        <v>0</v>
      </c>
      <c r="G85" s="24" t="str">
        <f>G84</f>
        <v>Pool 5 vs 6</v>
      </c>
      <c r="H85" s="26">
        <f>D84</f>
        <v>0</v>
      </c>
      <c r="I85" s="90">
        <f>B85</f>
        <v>0</v>
      </c>
    </row>
    <row r="86" spans="1:21" x14ac:dyDescent="0.3">
      <c r="A86" s="24" t="str">
        <f t="shared" si="8"/>
        <v>Pool 7</v>
      </c>
      <c r="B86" s="26" cm="1">
        <f t="array" ref="B86:E86">TRANSPOSE(Groups!H37:H40)</f>
        <v>0</v>
      </c>
      <c r="C86" s="91">
        <v>0</v>
      </c>
      <c r="D86" s="24">
        <v>0</v>
      </c>
      <c r="E86" s="91">
        <v>0</v>
      </c>
      <c r="G86" s="24" t="s">
        <v>459</v>
      </c>
      <c r="H86" s="26">
        <f>B86</f>
        <v>0</v>
      </c>
      <c r="I86" s="90">
        <f>D87</f>
        <v>0</v>
      </c>
    </row>
    <row r="87" spans="1:21" x14ac:dyDescent="0.3">
      <c r="A87" s="24" t="str">
        <f t="shared" si="8"/>
        <v>Pool 8</v>
      </c>
      <c r="B87" s="26" cm="1">
        <f t="array" ref="B87:E87">TRANSPOSE(Groups!I37:I40)</f>
        <v>0</v>
      </c>
      <c r="C87" s="91">
        <v>0</v>
      </c>
      <c r="D87" s="24">
        <v>0</v>
      </c>
      <c r="E87" s="91">
        <v>0</v>
      </c>
      <c r="G87" s="24" t="str">
        <f>G86</f>
        <v>Pool 7 vs 8</v>
      </c>
      <c r="H87" s="26">
        <f>D86</f>
        <v>0</v>
      </c>
      <c r="I87" s="90">
        <f>B87</f>
        <v>0</v>
      </c>
    </row>
    <row r="89" spans="1:21" x14ac:dyDescent="0.3">
      <c r="A89" s="121" t="s">
        <v>69</v>
      </c>
      <c r="B89" s="121"/>
      <c r="C89" s="121"/>
      <c r="D89" s="121"/>
      <c r="E89" s="121"/>
    </row>
    <row r="90" spans="1:21" x14ac:dyDescent="0.3">
      <c r="A90" s="120">
        <f>A33</f>
        <v>0</v>
      </c>
      <c r="B90" s="120"/>
      <c r="C90" s="120"/>
      <c r="D90" s="120"/>
      <c r="E90" s="120"/>
      <c r="H90" s="120" t="s">
        <v>447</v>
      </c>
      <c r="I90" s="120"/>
      <c r="L90" s="120" t="s">
        <v>40</v>
      </c>
      <c r="M90" s="120"/>
      <c r="P90" s="120" t="s">
        <v>43</v>
      </c>
      <c r="Q90" s="120"/>
      <c r="T90" s="120" t="s">
        <v>41</v>
      </c>
      <c r="U90" s="120"/>
    </row>
    <row r="91" spans="1:21" x14ac:dyDescent="0.3">
      <c r="A91" s="24" t="str">
        <f t="shared" ref="A91:A98" si="9">A80</f>
        <v>Pool 1</v>
      </c>
      <c r="B91" s="26" t="str" cm="1">
        <f t="array" ref="B91:E91">TRANSPOSE(Groups!B42:B45)</f>
        <v>Sachin Verma / Hema Thakkar</v>
      </c>
      <c r="C91" s="91" t="str">
        <v>Amandeep Saini / Alisha Bhise</v>
      </c>
      <c r="D91" s="24" t="str">
        <v>Nachiket Gogia / Purva Verma</v>
      </c>
      <c r="E91" s="91">
        <v>0</v>
      </c>
      <c r="G91" s="24" t="s">
        <v>458</v>
      </c>
      <c r="H91" s="26" t="str">
        <f>B91</f>
        <v>Sachin Verma / Hema Thakkar</v>
      </c>
      <c r="I91" s="90">
        <f>D92</f>
        <v>0</v>
      </c>
      <c r="K91" s="24" t="s">
        <v>457</v>
      </c>
      <c r="L91" s="26" t="str">
        <f>H91</f>
        <v>Sachin Verma / Hema Thakkar</v>
      </c>
      <c r="M91" s="90">
        <f>H96</f>
        <v>0</v>
      </c>
      <c r="O91" s="24" t="s">
        <v>426</v>
      </c>
      <c r="P91" s="26" t="str">
        <f>L91</f>
        <v>Sachin Verma / Hema Thakkar</v>
      </c>
      <c r="Q91" s="90">
        <f>L93</f>
        <v>0</v>
      </c>
      <c r="S91" s="24" t="s">
        <v>422</v>
      </c>
      <c r="T91" s="26" t="str">
        <f>P91</f>
        <v>Sachin Verma / Hema Thakkar</v>
      </c>
      <c r="U91" s="26" t="str">
        <f>P92</f>
        <v>Nachiket Gogia / Purva Verma</v>
      </c>
    </row>
    <row r="92" spans="1:21" x14ac:dyDescent="0.3">
      <c r="A92" s="24" t="str">
        <f t="shared" si="9"/>
        <v>Pool 2</v>
      </c>
      <c r="B92" s="26" cm="1">
        <f t="array" ref="B92:E92">TRANSPOSE(Groups!C42:C45)</f>
        <v>0</v>
      </c>
      <c r="C92" s="91">
        <v>0</v>
      </c>
      <c r="D92" s="24">
        <v>0</v>
      </c>
      <c r="E92" s="91">
        <v>0</v>
      </c>
      <c r="G92" s="24" t="str">
        <f>G91</f>
        <v>Pool 1 vs 2</v>
      </c>
      <c r="H92" s="26" t="str">
        <f>D91</f>
        <v>Nachiket Gogia / Purva Verma</v>
      </c>
      <c r="I92" s="90">
        <f>B92</f>
        <v>0</v>
      </c>
      <c r="K92" s="24" t="s">
        <v>456</v>
      </c>
      <c r="L92" s="26" t="str">
        <f>H92</f>
        <v>Nachiket Gogia / Purva Verma</v>
      </c>
      <c r="M92" s="90">
        <f>H95</f>
        <v>0</v>
      </c>
      <c r="O92" s="24" t="s">
        <v>434</v>
      </c>
      <c r="P92" s="26" t="str">
        <f>L92</f>
        <v>Nachiket Gogia / Purva Verma</v>
      </c>
      <c r="Q92" s="90" t="s">
        <v>455</v>
      </c>
    </row>
    <row r="93" spans="1:21" x14ac:dyDescent="0.3">
      <c r="A93" s="24" t="str">
        <f t="shared" si="9"/>
        <v>Pool 3</v>
      </c>
      <c r="B93" s="26" cm="1">
        <f t="array" ref="B93:E93">TRANSPOSE(Groups!D42:D45)</f>
        <v>0</v>
      </c>
      <c r="C93" s="91">
        <v>0</v>
      </c>
      <c r="D93" s="24">
        <v>0</v>
      </c>
      <c r="E93" s="91">
        <v>0</v>
      </c>
      <c r="G93" s="24" t="s">
        <v>454</v>
      </c>
      <c r="H93" s="26">
        <f>B93</f>
        <v>0</v>
      </c>
      <c r="I93" s="90">
        <f>D94</f>
        <v>0</v>
      </c>
      <c r="K93" s="24" t="s">
        <v>454</v>
      </c>
      <c r="L93" s="26">
        <f>H93</f>
        <v>0</v>
      </c>
      <c r="M93" s="90">
        <f>H94</f>
        <v>0</v>
      </c>
    </row>
    <row r="94" spans="1:21" x14ac:dyDescent="0.3">
      <c r="A94" s="24" t="str">
        <f t="shared" si="9"/>
        <v>Pool 4</v>
      </c>
      <c r="B94" s="26" cm="1">
        <f t="array" ref="B94:E94">TRANSPOSE(Groups!E42:E45)</f>
        <v>0</v>
      </c>
      <c r="C94" s="91">
        <v>0</v>
      </c>
      <c r="D94" s="24">
        <v>0</v>
      </c>
      <c r="E94" s="91">
        <v>0</v>
      </c>
      <c r="G94" s="24" t="str">
        <f>G93</f>
        <v>Pool 3 vs 4</v>
      </c>
      <c r="H94" s="26">
        <f>D93</f>
        <v>0</v>
      </c>
      <c r="I94" s="90">
        <f>B94</f>
        <v>0</v>
      </c>
      <c r="L94" s="26"/>
      <c r="M94" s="90"/>
    </row>
    <row r="95" spans="1:21" x14ac:dyDescent="0.3">
      <c r="A95" s="24" t="str">
        <f t="shared" si="9"/>
        <v>Pool 5</v>
      </c>
      <c r="B95" s="26" cm="1">
        <f t="array" ref="B95:E95">TRANSPOSE(Groups!F42:F45)</f>
        <v>0</v>
      </c>
      <c r="C95" s="91">
        <v>0</v>
      </c>
      <c r="D95" s="24">
        <v>0</v>
      </c>
      <c r="E95" s="91">
        <v>0</v>
      </c>
      <c r="G95" s="24" t="s">
        <v>453</v>
      </c>
      <c r="H95" s="26">
        <f>B95</f>
        <v>0</v>
      </c>
      <c r="I95" s="90">
        <f>D96</f>
        <v>0</v>
      </c>
    </row>
    <row r="96" spans="1:21" x14ac:dyDescent="0.3">
      <c r="A96" s="24" t="str">
        <f t="shared" si="9"/>
        <v>Pool 6</v>
      </c>
      <c r="B96" s="26" cm="1">
        <f t="array" ref="B96:E96">TRANSPOSE(Groups!G42:G45)</f>
        <v>0</v>
      </c>
      <c r="C96" s="91">
        <v>0</v>
      </c>
      <c r="D96" s="24">
        <v>0</v>
      </c>
      <c r="E96" s="91">
        <v>0</v>
      </c>
      <c r="G96" s="24" t="str">
        <f>G95</f>
        <v>Pool 5 vs 6</v>
      </c>
      <c r="H96" s="26">
        <f>D95</f>
        <v>0</v>
      </c>
      <c r="I96" s="90">
        <f>B96</f>
        <v>0</v>
      </c>
    </row>
    <row r="97" spans="1:9" x14ac:dyDescent="0.3">
      <c r="A97" s="24" t="str">
        <f t="shared" si="9"/>
        <v>Pool 7</v>
      </c>
      <c r="B97" s="26"/>
      <c r="C97" s="91"/>
      <c r="E97" s="91"/>
      <c r="H97" s="26"/>
      <c r="I97" s="90"/>
    </row>
    <row r="98" spans="1:9" x14ac:dyDescent="0.3">
      <c r="A98" s="24" t="str">
        <f t="shared" si="9"/>
        <v>Pool 8</v>
      </c>
      <c r="B98" s="26"/>
      <c r="C98" s="91"/>
      <c r="E98" s="91"/>
      <c r="H98" s="26"/>
      <c r="I98" s="90"/>
    </row>
  </sheetData>
  <mergeCells count="52">
    <mergeCell ref="P79:Q79"/>
    <mergeCell ref="T90:U90"/>
    <mergeCell ref="A89:E89"/>
    <mergeCell ref="A90:E90"/>
    <mergeCell ref="H90:I90"/>
    <mergeCell ref="L90:M90"/>
    <mergeCell ref="P90:Q90"/>
    <mergeCell ref="T79:U79"/>
    <mergeCell ref="A56:E56"/>
    <mergeCell ref="A57:E57"/>
    <mergeCell ref="H57:I57"/>
    <mergeCell ref="L57:M57"/>
    <mergeCell ref="P57:Q57"/>
    <mergeCell ref="T68:U68"/>
    <mergeCell ref="A68:E68"/>
    <mergeCell ref="H68:I68"/>
    <mergeCell ref="L68:M68"/>
    <mergeCell ref="P68:Q68"/>
    <mergeCell ref="A67:E67"/>
    <mergeCell ref="A78:E78"/>
    <mergeCell ref="A79:E79"/>
    <mergeCell ref="H79:I79"/>
    <mergeCell ref="L79:M79"/>
    <mergeCell ref="P35:Q35"/>
    <mergeCell ref="T35:U35"/>
    <mergeCell ref="P24:Q24"/>
    <mergeCell ref="A46:E46"/>
    <mergeCell ref="H46:I46"/>
    <mergeCell ref="L46:M46"/>
    <mergeCell ref="P46:Q46"/>
    <mergeCell ref="T46:U46"/>
    <mergeCell ref="T24:U24"/>
    <mergeCell ref="A12:E12"/>
    <mergeCell ref="A13:E13"/>
    <mergeCell ref="H13:I13"/>
    <mergeCell ref="L13:M13"/>
    <mergeCell ref="P13:Q13"/>
    <mergeCell ref="A23:E23"/>
    <mergeCell ref="A24:E24"/>
    <mergeCell ref="H24:I24"/>
    <mergeCell ref="L24:M24"/>
    <mergeCell ref="A45:E45"/>
    <mergeCell ref="A34:E34"/>
    <mergeCell ref="A35:E35"/>
    <mergeCell ref="H35:I35"/>
    <mergeCell ref="L35:M35"/>
    <mergeCell ref="T2:U2"/>
    <mergeCell ref="A1:E1"/>
    <mergeCell ref="A2:E2"/>
    <mergeCell ref="H2:I2"/>
    <mergeCell ref="L2:M2"/>
    <mergeCell ref="P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60F8-61BE-47E3-BE27-C956DB8F7C0E}">
  <sheetPr>
    <pageSetUpPr fitToPage="1"/>
  </sheetPr>
  <dimension ref="A1:U427"/>
  <sheetViews>
    <sheetView showGridLines="0" workbookViewId="0">
      <pane xSplit="1" ySplit="1" topLeftCell="B2" activePane="bottomRight" state="frozen"/>
      <selection activeCell="E197" sqref="E197:E200"/>
      <selection pane="topRight" activeCell="E197" sqref="E197:E200"/>
      <selection pane="bottomLeft" activeCell="E197" sqref="E197:E200"/>
      <selection pane="bottomRight" activeCell="C238" sqref="C238"/>
    </sheetView>
  </sheetViews>
  <sheetFormatPr defaultRowHeight="12" x14ac:dyDescent="0.3"/>
  <cols>
    <col min="1" max="1" width="28" style="103" customWidth="1"/>
    <col min="2" max="2" width="11.81640625" style="103" bestFit="1" customWidth="1"/>
    <col min="3" max="3" width="15.6328125" style="103" bestFit="1" customWidth="1"/>
    <col min="4" max="4" width="14.6328125" style="103" bestFit="1" customWidth="1"/>
    <col min="5" max="5" width="18" style="103" customWidth="1"/>
    <col min="6" max="6" width="10" style="103" customWidth="1"/>
    <col min="7" max="7" width="9" style="103" customWidth="1"/>
    <col min="8" max="8" width="40.90625" style="103" bestFit="1" customWidth="1"/>
    <col min="9" max="9" width="22.08984375" style="103" bestFit="1" customWidth="1"/>
    <col min="10" max="10" width="17.26953125" style="103" bestFit="1" customWidth="1"/>
    <col min="11" max="11" width="39.7265625" style="103" bestFit="1" customWidth="1"/>
    <col min="12" max="12" width="13.26953125" style="103" customWidth="1"/>
    <col min="13" max="13" width="16" style="103" customWidth="1"/>
    <col min="14" max="15" width="16" style="103" bestFit="1" customWidth="1"/>
    <col min="16" max="16" width="39.7265625" style="103" bestFit="1" customWidth="1"/>
    <col min="17" max="17" width="16" style="103" bestFit="1" customWidth="1"/>
    <col min="18" max="18" width="18.6328125" style="103" bestFit="1" customWidth="1"/>
    <col min="19" max="19" width="15.54296875" style="61" bestFit="1" customWidth="1"/>
    <col min="20" max="20" width="16" style="103" customWidth="1"/>
    <col min="21" max="16384" width="8.7265625" style="103"/>
  </cols>
  <sheetData>
    <row r="1" spans="1:21" x14ac:dyDescent="0.3">
      <c r="A1" s="88" t="s">
        <v>10</v>
      </c>
      <c r="B1" s="87" t="s">
        <v>1</v>
      </c>
      <c r="C1" s="87" t="s">
        <v>8</v>
      </c>
      <c r="D1" s="87" t="s">
        <v>9</v>
      </c>
      <c r="E1" s="87" t="s">
        <v>452</v>
      </c>
      <c r="F1" s="87" t="s">
        <v>37</v>
      </c>
      <c r="G1" s="87" t="s">
        <v>451</v>
      </c>
      <c r="H1" s="87" t="s">
        <v>38</v>
      </c>
      <c r="I1" s="87" t="s">
        <v>472</v>
      </c>
      <c r="J1" s="87" t="s">
        <v>473</v>
      </c>
      <c r="K1" s="87" t="s">
        <v>483</v>
      </c>
      <c r="L1" s="87" t="s">
        <v>476</v>
      </c>
      <c r="M1" s="87" t="s">
        <v>477</v>
      </c>
      <c r="N1" s="87" t="s">
        <v>474</v>
      </c>
      <c r="O1" s="87" t="s">
        <v>475</v>
      </c>
      <c r="P1" s="87" t="s">
        <v>482</v>
      </c>
      <c r="Q1" s="87" t="s">
        <v>478</v>
      </c>
      <c r="R1" s="87" t="s">
        <v>479</v>
      </c>
      <c r="S1" s="104" t="s">
        <v>450</v>
      </c>
      <c r="T1" s="104" t="s">
        <v>449</v>
      </c>
      <c r="U1" s="86" t="s">
        <v>448</v>
      </c>
    </row>
    <row r="2" spans="1:21" hidden="1" x14ac:dyDescent="0.3">
      <c r="A2" s="109" t="s">
        <v>49</v>
      </c>
      <c r="B2" s="78" t="s">
        <v>75</v>
      </c>
      <c r="C2" s="79">
        <v>46117.291666666657</v>
      </c>
      <c r="D2" s="79">
        <f>C2+TIME(0,7,0)</f>
        <v>46117.296527777769</v>
      </c>
      <c r="E2" s="78" t="s">
        <v>433</v>
      </c>
      <c r="F2" s="78">
        <v>1</v>
      </c>
      <c r="G2" s="78">
        <v>1</v>
      </c>
      <c r="H2" s="78" t="str">
        <f ca="1">IF(OR(S2="",T2=""),"",IFERROR(_xludf.XLOOKUP(S2,'Registrations'!#REF!,'Registrations'!#REF!,_xludf.XLOOKUP(S2,'Registrations'!$B$4:$B$211,'Registrations'!$E$4:$E$211,S2)),S2) &amp; " vs " &amp; IFERROR(_xludf.XLOOKUP(T2,'Registrations'!#REF!,'Registrations'!#REF!,_xludf.XLOOKUP(T2,'Registrations'!$B$4:$B$211,'Registrations'!$E$4:$E$211,T2)),T2))</f>
        <v>Sanjay Gatti vs 0</v>
      </c>
      <c r="I2" s="78" t="str">
        <f ca="1">_xlfn.TEXTBEFORE(H2," vs ")</f>
        <v>Sanjay Gatti</v>
      </c>
      <c r="J2" s="78" t="str">
        <f ca="1">_xlfn.TEXTAFTER(H2," vs ")</f>
        <v>0</v>
      </c>
      <c r="K2" s="78" t="str">
        <f ca="1">Schedules[[#This Row],[Player 1]]</f>
        <v>Sanjay Gatti</v>
      </c>
      <c r="L2" s="78">
        <v>15</v>
      </c>
      <c r="M2" s="78" t="str">
        <f>IF(L2=15,"WIN","LOST")</f>
        <v>WIN</v>
      </c>
      <c r="N2" s="78"/>
      <c r="O2" s="78"/>
      <c r="P2" s="78" t="str">
        <f ca="1">Schedules[[#This Row],[Player 2]]</f>
        <v>0</v>
      </c>
      <c r="Q2" s="78">
        <v>10</v>
      </c>
      <c r="R2" s="78" t="str">
        <f>IF(Q2=15,"WIN","LOST")</f>
        <v>LOST</v>
      </c>
      <c r="S2" s="105" t="str">
        <f>Input!B3</f>
        <v>Sanjay Gatti</v>
      </c>
      <c r="T2" s="105">
        <f>Input!C3</f>
        <v>0</v>
      </c>
      <c r="U2" s="85" t="s">
        <v>433</v>
      </c>
    </row>
    <row r="3" spans="1:21" hidden="1" x14ac:dyDescent="0.3">
      <c r="A3" s="109" t="s">
        <v>49</v>
      </c>
      <c r="B3" s="78" t="str">
        <f>B2</f>
        <v>Adda</v>
      </c>
      <c r="C3" s="79">
        <f>C2</f>
        <v>46117.291666666657</v>
      </c>
      <c r="D3" s="79">
        <f>D2</f>
        <v>46117.296527777769</v>
      </c>
      <c r="E3" s="78" t="str">
        <f>E2</f>
        <v>Group</v>
      </c>
      <c r="F3" s="78">
        <v>2</v>
      </c>
      <c r="G3" s="78">
        <v>2</v>
      </c>
      <c r="H3" s="78" t="str">
        <f ca="1">IF(OR(S3="",T3=""),"",IFERROR(_xludf.XLOOKUP(S3,'Registrations'!#REF!,'Registrations'!#REF!,_xludf.XLOOKUP(S3,'Registrations'!$B$4:$B$211,'Registrations'!$E$4:$E$211,S3)),S3) &amp; " vs " &amp; IFERROR(_xludf.XLOOKUP(T3,'Registrations'!#REF!,'Registrations'!#REF!,_xludf.XLOOKUP(T3,'Registrations'!$B$4:$B$211,'Registrations'!$E$4:$E$211,T3)),T3))</f>
        <v>0 vs 0</v>
      </c>
      <c r="I3" s="78" t="str">
        <f t="shared" ref="I3:I66" ca="1" si="0">_xlfn.TEXTBEFORE(H3," vs ")</f>
        <v>0</v>
      </c>
      <c r="J3" s="78" t="str">
        <f t="shared" ref="J3:J46" ca="1" si="1">_xlfn.TEXTAFTER(H3," vs ")</f>
        <v>0</v>
      </c>
      <c r="K3" s="78" t="str">
        <f ca="1">Schedules[[#This Row],[Player 1]]</f>
        <v>0</v>
      </c>
      <c r="L3" s="78">
        <v>15</v>
      </c>
      <c r="M3" s="78" t="str">
        <f t="shared" ref="M3:M66" si="2">IF(L3=15,"WIN","LOST")</f>
        <v>WIN</v>
      </c>
      <c r="N3" s="78"/>
      <c r="O3" s="78"/>
      <c r="P3" s="78" t="str">
        <f ca="1">Schedules[[#This Row],[Player 2]]</f>
        <v>0</v>
      </c>
      <c r="Q3" s="78">
        <v>10</v>
      </c>
      <c r="R3" s="78" t="str">
        <f t="shared" ref="R3:R66" si="3">IF(Q3=15,"WIN","LOST")</f>
        <v>LOST</v>
      </c>
      <c r="S3" s="105">
        <f>Input!B4</f>
        <v>0</v>
      </c>
      <c r="T3" s="105">
        <f>Input!C4</f>
        <v>0</v>
      </c>
      <c r="U3" s="84" t="s">
        <v>447</v>
      </c>
    </row>
    <row r="4" spans="1:21" hidden="1" x14ac:dyDescent="0.3">
      <c r="A4" s="109" t="s">
        <v>49</v>
      </c>
      <c r="B4" s="78" t="str">
        <f t="shared" ref="B4:B67" si="4">B3</f>
        <v>Adda</v>
      </c>
      <c r="C4" s="79">
        <f>D3+TIME(0,3,0)</f>
        <v>46117.298611111102</v>
      </c>
      <c r="D4" s="79">
        <f>C4+TIME(0,7,0)</f>
        <v>46117.303472222215</v>
      </c>
      <c r="E4" s="78" t="str">
        <f t="shared" ref="E4:E13" si="5">E3</f>
        <v>Group</v>
      </c>
      <c r="F4" s="78">
        <f t="shared" ref="F4:G13" si="6">F2</f>
        <v>1</v>
      </c>
      <c r="G4" s="78">
        <f t="shared" si="6"/>
        <v>1</v>
      </c>
      <c r="H4" s="78" t="str">
        <f ca="1">IF(OR(S4="",T4=""),"",IFERROR(_xludf.XLOOKUP(S4,'Registrations'!#REF!,'Registrations'!#REF!,_xludf.XLOOKUP(S4,'Registrations'!$B$4:$B$211,'Registrations'!$E$4:$E$211,S4)),S4) &amp; " vs " &amp; IFERROR(_xludf.XLOOKUP(T4,'Registrations'!#REF!,'Registrations'!#REF!,_xludf.XLOOKUP(T4,'Registrations'!$B$4:$B$211,'Registrations'!$E$4:$E$211,T4)),T4))</f>
        <v>0 vs 0</v>
      </c>
      <c r="I4" s="78" t="str">
        <f t="shared" ca="1" si="0"/>
        <v>0</v>
      </c>
      <c r="J4" s="78" t="str">
        <f t="shared" ca="1" si="1"/>
        <v>0</v>
      </c>
      <c r="K4" s="78" t="str">
        <f ca="1">Schedules[[#This Row],[Player 1]]</f>
        <v>0</v>
      </c>
      <c r="L4" s="78">
        <v>15</v>
      </c>
      <c r="M4" s="78" t="str">
        <f t="shared" si="2"/>
        <v>WIN</v>
      </c>
      <c r="N4" s="78"/>
      <c r="O4" s="78"/>
      <c r="P4" s="78" t="str">
        <f ca="1">Schedules[[#This Row],[Player 2]]</f>
        <v>0</v>
      </c>
      <c r="Q4" s="78">
        <v>10</v>
      </c>
      <c r="R4" s="78" t="str">
        <f t="shared" si="3"/>
        <v>LOST</v>
      </c>
      <c r="S4" s="105">
        <f>Input!D3</f>
        <v>0</v>
      </c>
      <c r="T4" s="105">
        <f>Input!E3</f>
        <v>0</v>
      </c>
      <c r="U4" s="83" t="s">
        <v>40</v>
      </c>
    </row>
    <row r="5" spans="1:21" hidden="1" x14ac:dyDescent="0.3">
      <c r="A5" s="109" t="s">
        <v>49</v>
      </c>
      <c r="B5" s="78" t="str">
        <f t="shared" si="4"/>
        <v>Adda</v>
      </c>
      <c r="C5" s="79">
        <f>C4</f>
        <v>46117.298611111102</v>
      </c>
      <c r="D5" s="79">
        <f>D4</f>
        <v>46117.303472222215</v>
      </c>
      <c r="E5" s="78" t="str">
        <f t="shared" si="5"/>
        <v>Group</v>
      </c>
      <c r="F5" s="78">
        <f t="shared" si="6"/>
        <v>2</v>
      </c>
      <c r="G5" s="78">
        <f t="shared" si="6"/>
        <v>2</v>
      </c>
      <c r="H5" s="78" t="str">
        <f ca="1">IF(OR(S4="",T4=""),"",IFERROR(_xludf.XLOOKUP(S4,'Registrations'!#REF!,'Registrations'!#REF!,_xludf.XLOOKUP(S4,'Registrations'!$B$4:$B$211,'Registrations'!$E$4:$E$211,S4)),S4) &amp; " vs " &amp; IFERROR(_xludf.XLOOKUP(T4,'Registrations'!#REF!,'Registrations'!#REF!,_xludf.XLOOKUP(T4,'Registrations'!$B$4:$B$211,'Registrations'!$E$4:$E$211,T4)),T4))</f>
        <v>0 vs 0</v>
      </c>
      <c r="I5" s="78" t="str">
        <f t="shared" ca="1" si="0"/>
        <v>0</v>
      </c>
      <c r="J5" s="78" t="str">
        <f t="shared" ca="1" si="1"/>
        <v>0</v>
      </c>
      <c r="K5" s="78" t="str">
        <f ca="1">Schedules[[#This Row],[Player 1]]</f>
        <v>0</v>
      </c>
      <c r="L5" s="78">
        <v>15</v>
      </c>
      <c r="M5" s="78" t="str">
        <f t="shared" si="2"/>
        <v>WIN</v>
      </c>
      <c r="N5" s="78"/>
      <c r="O5" s="78"/>
      <c r="P5" s="78" t="str">
        <f ca="1">Schedules[[#This Row],[Player 2]]</f>
        <v>0</v>
      </c>
      <c r="Q5" s="78">
        <v>10</v>
      </c>
      <c r="R5" s="78" t="str">
        <f t="shared" si="3"/>
        <v>LOST</v>
      </c>
      <c r="S5" s="105">
        <f>Input!D4</f>
        <v>0</v>
      </c>
      <c r="T5" s="105">
        <f>Input!E4</f>
        <v>0</v>
      </c>
      <c r="U5" s="82" t="s">
        <v>43</v>
      </c>
    </row>
    <row r="6" spans="1:21" hidden="1" x14ac:dyDescent="0.3">
      <c r="A6" s="109" t="s">
        <v>49</v>
      </c>
      <c r="B6" s="78" t="str">
        <f t="shared" si="4"/>
        <v>Adda</v>
      </c>
      <c r="C6" s="79">
        <f>D5+TIME(0,3,0)</f>
        <v>46117.305555555547</v>
      </c>
      <c r="D6" s="79">
        <f>C6+TIME(0,7,0)</f>
        <v>46117.31041666666</v>
      </c>
      <c r="E6" s="78" t="str">
        <f t="shared" si="5"/>
        <v>Group</v>
      </c>
      <c r="F6" s="78">
        <f t="shared" si="6"/>
        <v>1</v>
      </c>
      <c r="G6" s="78">
        <f t="shared" si="6"/>
        <v>1</v>
      </c>
      <c r="H6" s="78" t="str">
        <f ca="1">IF(OR(S5="",T5=""),"",IFERROR(_xludf.XLOOKUP(S5,'Registrations'!#REF!,'Registrations'!#REF!,_xludf.XLOOKUP(S5,'Registrations'!$B$4:$B$211,'Registrations'!$E$4:$E$211,S5)),S5) &amp; " vs " &amp; IFERROR(_xludf.XLOOKUP(T5,'Registrations'!#REF!,'Registrations'!#REF!,_xludf.XLOOKUP(T5,'Registrations'!$B$4:$B$211,'Registrations'!$E$4:$E$211,T5)),T5))</f>
        <v>0 vs 0</v>
      </c>
      <c r="I6" s="78" t="str">
        <f t="shared" ca="1" si="0"/>
        <v>0</v>
      </c>
      <c r="J6" s="78" t="str">
        <f t="shared" ca="1" si="1"/>
        <v>0</v>
      </c>
      <c r="K6" s="78" t="str">
        <f ca="1">Schedules[[#This Row],[Player 1]]</f>
        <v>0</v>
      </c>
      <c r="L6" s="78">
        <v>15</v>
      </c>
      <c r="M6" s="78" t="str">
        <f t="shared" si="2"/>
        <v>WIN</v>
      </c>
      <c r="N6" s="78"/>
      <c r="O6" s="78"/>
      <c r="P6" s="78" t="str">
        <f ca="1">Schedules[[#This Row],[Player 2]]</f>
        <v>0</v>
      </c>
      <c r="Q6" s="78">
        <v>10</v>
      </c>
      <c r="R6" s="78" t="str">
        <f t="shared" si="3"/>
        <v>LOST</v>
      </c>
      <c r="S6" s="105" t="str">
        <f>Input!B3</f>
        <v>Sanjay Gatti</v>
      </c>
      <c r="T6" s="105">
        <f>Input!D3</f>
        <v>0</v>
      </c>
      <c r="U6" s="81" t="s">
        <v>41</v>
      </c>
    </row>
    <row r="7" spans="1:21" hidden="1" x14ac:dyDescent="0.3">
      <c r="A7" s="109" t="s">
        <v>49</v>
      </c>
      <c r="B7" s="78" t="str">
        <f t="shared" si="4"/>
        <v>Adda</v>
      </c>
      <c r="C7" s="79">
        <f>C6</f>
        <v>46117.305555555547</v>
      </c>
      <c r="D7" s="79">
        <f>D6</f>
        <v>46117.31041666666</v>
      </c>
      <c r="E7" s="78" t="str">
        <f t="shared" si="5"/>
        <v>Group</v>
      </c>
      <c r="F7" s="78">
        <f t="shared" si="6"/>
        <v>2</v>
      </c>
      <c r="G7" s="78">
        <f t="shared" si="6"/>
        <v>2</v>
      </c>
      <c r="H7" s="78" t="str">
        <f ca="1">IF(OR(S7="",T7=""),"",IFERROR(_xludf.XLOOKUP(S7,'Registrations'!#REF!,'Registrations'!#REF!,_xludf.XLOOKUP(S7,'Registrations'!$B$4:$B$211,'Registrations'!$E$4:$E$211,S7)),S7) &amp; " vs " &amp; IFERROR(_xludf.XLOOKUP(T7,'Registrations'!#REF!,'Registrations'!#REF!,_xludf.XLOOKUP(T7,'Registrations'!$B$4:$B$211,'Registrations'!$E$4:$E$211,T7)),T7))</f>
        <v>0 vs 0</v>
      </c>
      <c r="I7" s="78" t="str">
        <f t="shared" ca="1" si="0"/>
        <v>0</v>
      </c>
      <c r="J7" s="78" t="str">
        <f t="shared" ca="1" si="1"/>
        <v>0</v>
      </c>
      <c r="K7" s="78" t="str">
        <f ca="1">Schedules[[#This Row],[Player 1]]</f>
        <v>0</v>
      </c>
      <c r="L7" s="78">
        <v>15</v>
      </c>
      <c r="M7" s="78" t="str">
        <f t="shared" si="2"/>
        <v>WIN</v>
      </c>
      <c r="N7" s="78"/>
      <c r="O7" s="78"/>
      <c r="P7" s="78" t="str">
        <f ca="1">Schedules[[#This Row],[Player 2]]</f>
        <v>0</v>
      </c>
      <c r="Q7" s="78">
        <v>10</v>
      </c>
      <c r="R7" s="78" t="str">
        <f t="shared" si="3"/>
        <v>LOST</v>
      </c>
      <c r="S7" s="105">
        <f>Input!B4</f>
        <v>0</v>
      </c>
      <c r="T7" s="105">
        <f>Input!D4</f>
        <v>0</v>
      </c>
      <c r="U7" s="80" t="s">
        <v>446</v>
      </c>
    </row>
    <row r="8" spans="1:21" hidden="1" x14ac:dyDescent="0.3">
      <c r="A8" s="109" t="s">
        <v>49</v>
      </c>
      <c r="B8" s="78" t="str">
        <f t="shared" si="4"/>
        <v>Adda</v>
      </c>
      <c r="C8" s="79">
        <f>D7+TIME(0,3,0)</f>
        <v>46117.312499999993</v>
      </c>
      <c r="D8" s="79">
        <f>C8+TIME(0,7,0)</f>
        <v>46117.317361111105</v>
      </c>
      <c r="E8" s="78" t="str">
        <f t="shared" si="5"/>
        <v>Group</v>
      </c>
      <c r="F8" s="78">
        <f t="shared" si="6"/>
        <v>1</v>
      </c>
      <c r="G8" s="78">
        <f t="shared" si="6"/>
        <v>1</v>
      </c>
      <c r="H8" s="78" t="str">
        <f ca="1">IF(OR(S8="",T8=""),"",IFERROR(_xludf.XLOOKUP(S8,'Registrations'!#REF!,'Registrations'!#REF!,_xludf.XLOOKUP(S8,'Registrations'!$B$4:$B$211,'Registrations'!$E$4:$E$211,S8)),S8) &amp; " vs " &amp; IFERROR(_xludf.XLOOKUP(T8,'Registrations'!#REF!,'Registrations'!#REF!,_xludf.XLOOKUP(T8,'Registrations'!$B$4:$B$211,'Registrations'!$E$4:$E$211,T8)),T8))</f>
        <v>0 vs 0</v>
      </c>
      <c r="I8" s="78" t="str">
        <f t="shared" ca="1" si="0"/>
        <v>0</v>
      </c>
      <c r="J8" s="78" t="str">
        <f t="shared" ca="1" si="1"/>
        <v>0</v>
      </c>
      <c r="K8" s="78" t="str">
        <f ca="1">Schedules[[#This Row],[Player 1]]</f>
        <v>0</v>
      </c>
      <c r="L8" s="78">
        <v>15</v>
      </c>
      <c r="M8" s="78" t="str">
        <f t="shared" si="2"/>
        <v>WIN</v>
      </c>
      <c r="N8" s="78"/>
      <c r="O8" s="78"/>
      <c r="P8" s="78" t="str">
        <f ca="1">Schedules[[#This Row],[Player 2]]</f>
        <v>0</v>
      </c>
      <c r="Q8" s="78">
        <v>10</v>
      </c>
      <c r="R8" s="78" t="str">
        <f t="shared" si="3"/>
        <v>LOST</v>
      </c>
      <c r="S8" s="105">
        <f>Input!C3</f>
        <v>0</v>
      </c>
      <c r="T8" s="105">
        <f>Input!E3</f>
        <v>0</v>
      </c>
    </row>
    <row r="9" spans="1:21" hidden="1" x14ac:dyDescent="0.3">
      <c r="A9" s="109" t="s">
        <v>49</v>
      </c>
      <c r="B9" s="78" t="str">
        <f t="shared" si="4"/>
        <v>Adda</v>
      </c>
      <c r="C9" s="79">
        <f>C8</f>
        <v>46117.312499999993</v>
      </c>
      <c r="D9" s="79">
        <f>D8</f>
        <v>46117.317361111105</v>
      </c>
      <c r="E9" s="78" t="str">
        <f t="shared" si="5"/>
        <v>Group</v>
      </c>
      <c r="F9" s="78">
        <f t="shared" si="6"/>
        <v>2</v>
      </c>
      <c r="G9" s="78">
        <f t="shared" si="6"/>
        <v>2</v>
      </c>
      <c r="H9" s="78" t="str">
        <f ca="1">IF(OR(S9="",T9=""),"",IFERROR(_xludf.XLOOKUP(S9,'Registrations'!#REF!,'Registrations'!#REF!,_xludf.XLOOKUP(S9,'Registrations'!$B$4:$B$211,'Registrations'!$E$4:$E$211,S9)),S9) &amp; " vs " &amp; IFERROR(_xludf.XLOOKUP(T9,'Registrations'!#REF!,'Registrations'!#REF!,_xludf.XLOOKUP(T9,'Registrations'!$B$4:$B$211,'Registrations'!$E$4:$E$211,T9)),T9))</f>
        <v>0 vs 0</v>
      </c>
      <c r="I9" s="78" t="str">
        <f t="shared" ca="1" si="0"/>
        <v>0</v>
      </c>
      <c r="J9" s="78" t="str">
        <f t="shared" ca="1" si="1"/>
        <v>0</v>
      </c>
      <c r="K9" s="78" t="str">
        <f ca="1">Schedules[[#This Row],[Player 1]]</f>
        <v>0</v>
      </c>
      <c r="L9" s="78">
        <v>15</v>
      </c>
      <c r="M9" s="78" t="str">
        <f t="shared" si="2"/>
        <v>WIN</v>
      </c>
      <c r="N9" s="78"/>
      <c r="O9" s="78"/>
      <c r="P9" s="78" t="str">
        <f ca="1">Schedules[[#This Row],[Player 2]]</f>
        <v>0</v>
      </c>
      <c r="Q9" s="78">
        <v>10</v>
      </c>
      <c r="R9" s="78" t="str">
        <f t="shared" si="3"/>
        <v>LOST</v>
      </c>
      <c r="S9" s="105">
        <f>Input!C4</f>
        <v>0</v>
      </c>
      <c r="T9" s="105">
        <f>Input!E4</f>
        <v>0</v>
      </c>
    </row>
    <row r="10" spans="1:21" hidden="1" x14ac:dyDescent="0.3">
      <c r="A10" s="109" t="s">
        <v>49</v>
      </c>
      <c r="B10" s="78" t="str">
        <f t="shared" si="4"/>
        <v>Adda</v>
      </c>
      <c r="C10" s="79">
        <f>D9+TIME(0,3,0)</f>
        <v>46117.319444444438</v>
      </c>
      <c r="D10" s="79">
        <f>C10+TIME(0,7,0)</f>
        <v>46117.32430555555</v>
      </c>
      <c r="E10" s="78" t="str">
        <f t="shared" si="5"/>
        <v>Group</v>
      </c>
      <c r="F10" s="78">
        <f t="shared" si="6"/>
        <v>1</v>
      </c>
      <c r="G10" s="78">
        <f t="shared" si="6"/>
        <v>1</v>
      </c>
      <c r="H10" s="78" t="str">
        <f ca="1">IF(OR(S10="",T10=""),"",IFERROR(_xludf.XLOOKUP(S10,'Registrations'!#REF!,'Registrations'!#REF!,_xludf.XLOOKUP(S10,'Registrations'!$B$4:$B$211,'Registrations'!$E$4:$E$211,S10)),S10) &amp; " vs " &amp; IFERROR(_xludf.XLOOKUP(T10,'Registrations'!#REF!,'Registrations'!#REF!,_xludf.XLOOKUP(T10,'Registrations'!$B$4:$B$211,'Registrations'!$E$4:$E$211,T10)),T10))</f>
        <v>Sanjay Gatti vs 0</v>
      </c>
      <c r="I10" s="78" t="str">
        <f t="shared" ca="1" si="0"/>
        <v>Sanjay Gatti</v>
      </c>
      <c r="J10" s="78" t="str">
        <f t="shared" ca="1" si="1"/>
        <v>0</v>
      </c>
      <c r="K10" s="78" t="str">
        <f ca="1">Schedules[[#This Row],[Player 1]]</f>
        <v>Sanjay Gatti</v>
      </c>
      <c r="L10" s="78">
        <v>15</v>
      </c>
      <c r="M10" s="78" t="str">
        <f t="shared" si="2"/>
        <v>WIN</v>
      </c>
      <c r="N10" s="78"/>
      <c r="O10" s="78"/>
      <c r="P10" s="78" t="str">
        <f ca="1">Schedules[[#This Row],[Player 2]]</f>
        <v>0</v>
      </c>
      <c r="Q10" s="78">
        <v>10</v>
      </c>
      <c r="R10" s="78" t="str">
        <f t="shared" si="3"/>
        <v>LOST</v>
      </c>
      <c r="S10" s="105" t="str">
        <f>Input!B3</f>
        <v>Sanjay Gatti</v>
      </c>
      <c r="T10" s="105">
        <f>Input!E3</f>
        <v>0</v>
      </c>
    </row>
    <row r="11" spans="1:21" hidden="1" x14ac:dyDescent="0.3">
      <c r="A11" s="109" t="s">
        <v>49</v>
      </c>
      <c r="B11" s="78" t="str">
        <f t="shared" si="4"/>
        <v>Adda</v>
      </c>
      <c r="C11" s="79">
        <f>C10</f>
        <v>46117.319444444438</v>
      </c>
      <c r="D11" s="79">
        <f>D10</f>
        <v>46117.32430555555</v>
      </c>
      <c r="E11" s="78" t="str">
        <f t="shared" si="5"/>
        <v>Group</v>
      </c>
      <c r="F11" s="78">
        <f t="shared" si="6"/>
        <v>2</v>
      </c>
      <c r="G11" s="78">
        <f t="shared" si="6"/>
        <v>2</v>
      </c>
      <c r="H11" s="78" t="str">
        <f ca="1">IF(OR(S11="",T11=""),"",IFERROR(_xludf.XLOOKUP(S11,'Registrations'!#REF!,'Registrations'!#REF!,_xludf.XLOOKUP(S11,'Registrations'!$B$4:$B$211,'Registrations'!$E$4:$E$211,S11)),S11) &amp; " vs " &amp; IFERROR(_xludf.XLOOKUP(T11,'Registrations'!#REF!,'Registrations'!#REF!,_xludf.XLOOKUP(T11,'Registrations'!$B$4:$B$211,'Registrations'!$E$4:$E$211,T11)),T11))</f>
        <v>0 vs 0</v>
      </c>
      <c r="I11" s="78" t="str">
        <f t="shared" ca="1" si="0"/>
        <v>0</v>
      </c>
      <c r="J11" s="78" t="str">
        <f t="shared" ca="1" si="1"/>
        <v>0</v>
      </c>
      <c r="K11" s="78" t="str">
        <f ca="1">Schedules[[#This Row],[Player 1]]</f>
        <v>0</v>
      </c>
      <c r="L11" s="78">
        <v>15</v>
      </c>
      <c r="M11" s="78" t="str">
        <f t="shared" si="2"/>
        <v>WIN</v>
      </c>
      <c r="N11" s="78"/>
      <c r="O11" s="78"/>
      <c r="P11" s="78" t="str">
        <f ca="1">Schedules[[#This Row],[Player 2]]</f>
        <v>0</v>
      </c>
      <c r="Q11" s="78">
        <v>10</v>
      </c>
      <c r="R11" s="78" t="str">
        <f t="shared" si="3"/>
        <v>LOST</v>
      </c>
      <c r="S11" s="105">
        <f>Input!B4</f>
        <v>0</v>
      </c>
      <c r="T11" s="105">
        <f>Input!E4</f>
        <v>0</v>
      </c>
    </row>
    <row r="12" spans="1:21" hidden="1" x14ac:dyDescent="0.3">
      <c r="A12" s="109" t="s">
        <v>49</v>
      </c>
      <c r="B12" s="78" t="str">
        <f t="shared" si="4"/>
        <v>Adda</v>
      </c>
      <c r="C12" s="79">
        <f>D11+TIME(0,3,0)</f>
        <v>46117.326388888883</v>
      </c>
      <c r="D12" s="79">
        <f>C12+TIME(0,7,0)</f>
        <v>46117.331249999996</v>
      </c>
      <c r="E12" s="78" t="str">
        <f t="shared" si="5"/>
        <v>Group</v>
      </c>
      <c r="F12" s="78">
        <f t="shared" si="6"/>
        <v>1</v>
      </c>
      <c r="G12" s="78">
        <f t="shared" si="6"/>
        <v>1</v>
      </c>
      <c r="H12" s="78" t="str">
        <f ca="1">IF(OR(S12="",T12=""),"",IFERROR(_xludf.XLOOKUP(S12,'Registrations'!#REF!,'Registrations'!#REF!,_xludf.XLOOKUP(S12,'Registrations'!$B$4:$B$211,'Registrations'!$E$4:$E$211,S12)),S12) &amp; " vs " &amp; IFERROR(_xludf.XLOOKUP(T12,'Registrations'!#REF!,'Registrations'!#REF!,_xludf.XLOOKUP(T12,'Registrations'!$B$4:$B$211,'Registrations'!$E$4:$E$211,T12)),T12))</f>
        <v>0 vs 0</v>
      </c>
      <c r="I12" s="78" t="str">
        <f t="shared" ca="1" si="0"/>
        <v>0</v>
      </c>
      <c r="J12" s="78" t="str">
        <f t="shared" ca="1" si="1"/>
        <v>0</v>
      </c>
      <c r="K12" s="78" t="str">
        <f ca="1">Schedules[[#This Row],[Player 1]]</f>
        <v>0</v>
      </c>
      <c r="L12" s="78">
        <v>15</v>
      </c>
      <c r="M12" s="78" t="str">
        <f t="shared" si="2"/>
        <v>WIN</v>
      </c>
      <c r="N12" s="78"/>
      <c r="O12" s="78"/>
      <c r="P12" s="78" t="str">
        <f ca="1">Schedules[[#This Row],[Player 2]]</f>
        <v>0</v>
      </c>
      <c r="Q12" s="78">
        <v>10</v>
      </c>
      <c r="R12" s="78" t="str">
        <f t="shared" si="3"/>
        <v>LOST</v>
      </c>
      <c r="S12" s="105">
        <f>Input!C3</f>
        <v>0</v>
      </c>
      <c r="T12" s="105">
        <f>Input!D3</f>
        <v>0</v>
      </c>
    </row>
    <row r="13" spans="1:21" hidden="1" x14ac:dyDescent="0.3">
      <c r="A13" s="109" t="s">
        <v>49</v>
      </c>
      <c r="B13" s="78" t="str">
        <f t="shared" si="4"/>
        <v>Adda</v>
      </c>
      <c r="C13" s="79">
        <f>C12</f>
        <v>46117.326388888883</v>
      </c>
      <c r="D13" s="79">
        <f>D12</f>
        <v>46117.331249999996</v>
      </c>
      <c r="E13" s="78" t="str">
        <f t="shared" si="5"/>
        <v>Group</v>
      </c>
      <c r="F13" s="78">
        <f t="shared" si="6"/>
        <v>2</v>
      </c>
      <c r="G13" s="78">
        <f t="shared" si="6"/>
        <v>2</v>
      </c>
      <c r="H13" s="78" t="str">
        <f ca="1">IF(OR(S13="",T13=""),"",IFERROR(_xludf.XLOOKUP(S13,'Registrations'!#REF!,'Registrations'!#REF!,_xludf.XLOOKUP(S13,'Registrations'!$B$4:$B$211,'Registrations'!$E$4:$E$211,S13)),S13) &amp; " vs " &amp; IFERROR(_xludf.XLOOKUP(T13,'Registrations'!#REF!,'Registrations'!#REF!,_xludf.XLOOKUP(T13,'Registrations'!$B$4:$B$211,'Registrations'!$E$4:$E$211,T13)),T13))</f>
        <v>0 vs 0</v>
      </c>
      <c r="I13" s="78" t="str">
        <f t="shared" ca="1" si="0"/>
        <v>0</v>
      </c>
      <c r="J13" s="78" t="str">
        <f t="shared" ca="1" si="1"/>
        <v>0</v>
      </c>
      <c r="K13" s="78" t="str">
        <f ca="1">Schedules[[#This Row],[Player 1]]</f>
        <v>0</v>
      </c>
      <c r="L13" s="78">
        <v>15</v>
      </c>
      <c r="M13" s="78" t="str">
        <f t="shared" si="2"/>
        <v>WIN</v>
      </c>
      <c r="N13" s="78"/>
      <c r="O13" s="78"/>
      <c r="P13" s="78" t="str">
        <f ca="1">Schedules[[#This Row],[Player 2]]</f>
        <v>0</v>
      </c>
      <c r="Q13" s="78">
        <v>10</v>
      </c>
      <c r="R13" s="78" t="str">
        <f t="shared" si="3"/>
        <v>LOST</v>
      </c>
      <c r="S13" s="105">
        <f>Input!C4</f>
        <v>0</v>
      </c>
      <c r="T13" s="105">
        <f>Input!D4</f>
        <v>0</v>
      </c>
    </row>
    <row r="14" spans="1:21" hidden="1" x14ac:dyDescent="0.3">
      <c r="A14" s="110" t="s">
        <v>49</v>
      </c>
      <c r="B14" s="76" t="str">
        <f t="shared" si="4"/>
        <v>Adda</v>
      </c>
      <c r="C14" s="77">
        <f>D13+TIME(0,3,0)</f>
        <v>46117.333333333328</v>
      </c>
      <c r="D14" s="77">
        <f>C14+TIME(0,7,0)</f>
        <v>46117.338194444441</v>
      </c>
      <c r="E14" s="76" t="s">
        <v>432</v>
      </c>
      <c r="F14" s="76">
        <f t="shared" ref="F14:F49" si="7">F12</f>
        <v>1</v>
      </c>
      <c r="G14" s="76" t="s">
        <v>422</v>
      </c>
      <c r="H14" s="76" t="str">
        <f ca="1">IF(OR(S14="",T14=""),"",IFERROR(_xludf.XLOOKUP(S14,'Registrations'!#REF!,'Registrations'!#REF!,_xludf.XLOOKUP(S14,'Registrations'!$B$4:$B$211,'Registrations'!$E$4:$E$211,S14)),S14) &amp; " vs " &amp; IFERROR(_xludf.XLOOKUP(T14,'Registrations'!#REF!,'Registrations'!#REF!,_xludf.XLOOKUP(T14,'Registrations'!$B$4:$B$211,'Registrations'!$E$4:$E$211,T14)),T14))</f>
        <v>Sanjay Gatti vs 0</v>
      </c>
      <c r="I14" s="76" t="str">
        <f t="shared" ca="1" si="0"/>
        <v>Sanjay Gatti</v>
      </c>
      <c r="J14" s="76" t="str">
        <f t="shared" ca="1" si="1"/>
        <v>0</v>
      </c>
      <c r="K14" s="76" t="str">
        <f ca="1">Schedules[[#This Row],[Player 1]]</f>
        <v>Sanjay Gatti</v>
      </c>
      <c r="L14" s="76">
        <v>15</v>
      </c>
      <c r="M14" s="76" t="str">
        <f t="shared" si="2"/>
        <v>WIN</v>
      </c>
      <c r="N14" s="76"/>
      <c r="O14" s="76"/>
      <c r="P14" s="76" t="str">
        <f ca="1">Schedules[[#This Row],[Player 2]]</f>
        <v>0</v>
      </c>
      <c r="Q14" s="76">
        <v>10</v>
      </c>
      <c r="R14" s="76" t="str">
        <f t="shared" si="3"/>
        <v>LOST</v>
      </c>
      <c r="S14" s="105" t="str">
        <f>Input!H3</f>
        <v>Sanjay Gatti</v>
      </c>
      <c r="T14" s="105">
        <f>Input!I3</f>
        <v>0</v>
      </c>
    </row>
    <row r="15" spans="1:21" hidden="1" x14ac:dyDescent="0.3">
      <c r="A15" s="110" t="s">
        <v>49</v>
      </c>
      <c r="B15" s="76" t="str">
        <f t="shared" si="4"/>
        <v>Adda</v>
      </c>
      <c r="C15" s="77">
        <f>C14</f>
        <v>46117.333333333328</v>
      </c>
      <c r="D15" s="77">
        <f>D14</f>
        <v>46117.338194444441</v>
      </c>
      <c r="E15" s="76" t="str">
        <f>E14</f>
        <v>Pre-Q</v>
      </c>
      <c r="F15" s="76">
        <f t="shared" si="7"/>
        <v>2</v>
      </c>
      <c r="G15" s="76" t="s">
        <v>422</v>
      </c>
      <c r="H15" s="76" t="str">
        <f ca="1">IF(OR(S15="",T15=""),"",IFERROR(_xludf.XLOOKUP(S15,'Registrations'!#REF!,'Registrations'!#REF!,_xludf.XLOOKUP(S15,'Registrations'!$B$4:$B$211,'Registrations'!$E$4:$E$211,S15)),S15) &amp; " vs " &amp; IFERROR(_xludf.XLOOKUP(T15,'Registrations'!#REF!,'Registrations'!#REF!,_xludf.XLOOKUP(T15,'Registrations'!$B$4:$B$211,'Registrations'!$E$4:$E$211,T15)),T15))</f>
        <v>0 vs 0</v>
      </c>
      <c r="I15" s="76" t="str">
        <f t="shared" ca="1" si="0"/>
        <v>0</v>
      </c>
      <c r="J15" s="76" t="str">
        <f t="shared" ca="1" si="1"/>
        <v>0</v>
      </c>
      <c r="K15" s="76" t="str">
        <f ca="1">Schedules[[#This Row],[Player 1]]</f>
        <v>0</v>
      </c>
      <c r="L15" s="76">
        <v>15</v>
      </c>
      <c r="M15" s="76" t="str">
        <f t="shared" si="2"/>
        <v>WIN</v>
      </c>
      <c r="N15" s="76"/>
      <c r="O15" s="76"/>
      <c r="P15" s="76" t="str">
        <f ca="1">Schedules[[#This Row],[Player 2]]</f>
        <v>0</v>
      </c>
      <c r="Q15" s="76">
        <v>10</v>
      </c>
      <c r="R15" s="76" t="str">
        <f t="shared" si="3"/>
        <v>LOST</v>
      </c>
      <c r="S15" s="105">
        <f>Input!H4</f>
        <v>0</v>
      </c>
      <c r="T15" s="105">
        <f>Input!I4</f>
        <v>0</v>
      </c>
    </row>
    <row r="16" spans="1:21" hidden="1" x14ac:dyDescent="0.3">
      <c r="A16" s="109" t="s">
        <v>49</v>
      </c>
      <c r="B16" s="78" t="str">
        <f t="shared" si="4"/>
        <v>Adda</v>
      </c>
      <c r="C16" s="79">
        <f>D15+TIME(0,3,0)</f>
        <v>46117.340277777774</v>
      </c>
      <c r="D16" s="79">
        <f>C16+TIME(0,7,0)</f>
        <v>46117.345138888886</v>
      </c>
      <c r="E16" s="78" t="s">
        <v>433</v>
      </c>
      <c r="F16" s="78">
        <f t="shared" si="7"/>
        <v>1</v>
      </c>
      <c r="G16" s="78">
        <v>3</v>
      </c>
      <c r="H16" s="78" t="str">
        <f ca="1">IF(OR(S16="",T16=""),"",IFERROR(_xludf.XLOOKUP(S16,'Registrations'!#REF!,'Registrations'!#REF!,_xludf.XLOOKUP(S16,'Registrations'!$B$4:$B$211,'Registrations'!$E$4:$E$211,S16)),S16) &amp; " vs " &amp; IFERROR(_xludf.XLOOKUP(T16,'Registrations'!#REF!,'Registrations'!#REF!,_xludf.XLOOKUP(T16,'Registrations'!$B$4:$B$211,'Registrations'!$E$4:$E$211,T16)),T16))</f>
        <v>0 vs 0</v>
      </c>
      <c r="I16" s="78" t="str">
        <f t="shared" ca="1" si="0"/>
        <v>0</v>
      </c>
      <c r="J16" s="78" t="str">
        <f t="shared" ca="1" si="1"/>
        <v>0</v>
      </c>
      <c r="K16" s="78" t="str">
        <f ca="1">Schedules[[#This Row],[Player 1]]</f>
        <v>0</v>
      </c>
      <c r="L16" s="78">
        <v>15</v>
      </c>
      <c r="M16" s="78" t="str">
        <f t="shared" si="2"/>
        <v>WIN</v>
      </c>
      <c r="N16" s="78"/>
      <c r="O16" s="78"/>
      <c r="P16" s="78" t="str">
        <f ca="1">Schedules[[#This Row],[Player 2]]</f>
        <v>0</v>
      </c>
      <c r="Q16" s="78">
        <v>10</v>
      </c>
      <c r="R16" s="78" t="str">
        <f t="shared" si="3"/>
        <v>LOST</v>
      </c>
      <c r="S16" s="105">
        <f>Input!B5</f>
        <v>0</v>
      </c>
      <c r="T16" s="105">
        <f>Input!C5</f>
        <v>0</v>
      </c>
    </row>
    <row r="17" spans="1:20" hidden="1" x14ac:dyDescent="0.3">
      <c r="A17" s="109" t="s">
        <v>49</v>
      </c>
      <c r="B17" s="78" t="str">
        <f t="shared" si="4"/>
        <v>Adda</v>
      </c>
      <c r="C17" s="79">
        <f>C16</f>
        <v>46117.340277777774</v>
      </c>
      <c r="D17" s="79">
        <f>D16</f>
        <v>46117.345138888886</v>
      </c>
      <c r="E17" s="78" t="str">
        <f>E16</f>
        <v>Group</v>
      </c>
      <c r="F17" s="78">
        <f t="shared" si="7"/>
        <v>2</v>
      </c>
      <c r="G17" s="78">
        <v>4</v>
      </c>
      <c r="H17" s="78" t="str">
        <f ca="1">IF(OR(S17="",T17=""),"",IFERROR(_xludf.XLOOKUP(S17,'Registrations'!#REF!,'Registrations'!#REF!,_xludf.XLOOKUP(S17,'Registrations'!$B$4:$B$211,'Registrations'!$E$4:$E$211,S17)),S17) &amp; " vs " &amp; IFERROR(_xludf.XLOOKUP(T17,'Registrations'!#REF!,'Registrations'!#REF!,_xludf.XLOOKUP(T17,'Registrations'!$B$4:$B$211,'Registrations'!$E$4:$E$211,T17)),T17))</f>
        <v>0 vs 0</v>
      </c>
      <c r="I17" s="78" t="str">
        <f t="shared" ca="1" si="0"/>
        <v>0</v>
      </c>
      <c r="J17" s="78" t="str">
        <f t="shared" ca="1" si="1"/>
        <v>0</v>
      </c>
      <c r="K17" s="78" t="str">
        <f ca="1">Schedules[[#This Row],[Player 1]]</f>
        <v>0</v>
      </c>
      <c r="L17" s="78">
        <v>15</v>
      </c>
      <c r="M17" s="78" t="str">
        <f t="shared" si="2"/>
        <v>WIN</v>
      </c>
      <c r="N17" s="78"/>
      <c r="O17" s="78"/>
      <c r="P17" s="78" t="str">
        <f ca="1">Schedules[[#This Row],[Player 2]]</f>
        <v>0</v>
      </c>
      <c r="Q17" s="78">
        <v>10</v>
      </c>
      <c r="R17" s="78" t="str">
        <f t="shared" si="3"/>
        <v>LOST</v>
      </c>
      <c r="S17" s="105">
        <f>Input!B6</f>
        <v>0</v>
      </c>
      <c r="T17" s="105">
        <f>Input!C6</f>
        <v>0</v>
      </c>
    </row>
    <row r="18" spans="1:20" hidden="1" x14ac:dyDescent="0.3">
      <c r="A18" s="109" t="s">
        <v>49</v>
      </c>
      <c r="B18" s="78" t="str">
        <f t="shared" si="4"/>
        <v>Adda</v>
      </c>
      <c r="C18" s="79">
        <f>D17+TIME(0,3,0)</f>
        <v>46117.347222222219</v>
      </c>
      <c r="D18" s="79">
        <f>C18+TIME(0,7,0)</f>
        <v>46117.352083333331</v>
      </c>
      <c r="E18" s="78" t="str">
        <f>E17</f>
        <v>Group</v>
      </c>
      <c r="F18" s="78">
        <f t="shared" si="7"/>
        <v>1</v>
      </c>
      <c r="G18" s="78">
        <f t="shared" ref="G18:G27" si="8">G16</f>
        <v>3</v>
      </c>
      <c r="H18" s="78" t="str">
        <f ca="1">IF(OR(S18="",T18=""),"",IFERROR(_xludf.XLOOKUP(S18,'Registrations'!#REF!,'Registrations'!#REF!,_xludf.XLOOKUP(S18,'Registrations'!$B$4:$B$211,'Registrations'!$E$4:$E$211,S18)),S18) &amp; " vs " &amp; IFERROR(_xludf.XLOOKUP(T18,'Registrations'!#REF!,'Registrations'!#REF!,_xludf.XLOOKUP(T18,'Registrations'!$B$4:$B$211,'Registrations'!$E$4:$E$211,T18)),T18))</f>
        <v>0 vs 0</v>
      </c>
      <c r="I18" s="78" t="str">
        <f t="shared" ca="1" si="0"/>
        <v>0</v>
      </c>
      <c r="J18" s="78" t="str">
        <f t="shared" ca="1" si="1"/>
        <v>0</v>
      </c>
      <c r="K18" s="78" t="str">
        <f ca="1">Schedules[[#This Row],[Player 1]]</f>
        <v>0</v>
      </c>
      <c r="L18" s="78">
        <v>15</v>
      </c>
      <c r="M18" s="78" t="str">
        <f t="shared" si="2"/>
        <v>WIN</v>
      </c>
      <c r="N18" s="78"/>
      <c r="O18" s="78"/>
      <c r="P18" s="78" t="str">
        <f ca="1">Schedules[[#This Row],[Player 2]]</f>
        <v>0</v>
      </c>
      <c r="Q18" s="78">
        <v>10</v>
      </c>
      <c r="R18" s="78" t="str">
        <f t="shared" si="3"/>
        <v>LOST</v>
      </c>
      <c r="S18" s="105">
        <f>Input!D5</f>
        <v>0</v>
      </c>
      <c r="T18" s="105">
        <f>Input!E5</f>
        <v>0</v>
      </c>
    </row>
    <row r="19" spans="1:20" hidden="1" x14ac:dyDescent="0.3">
      <c r="A19" s="109" t="s">
        <v>49</v>
      </c>
      <c r="B19" s="78" t="str">
        <f t="shared" si="4"/>
        <v>Adda</v>
      </c>
      <c r="C19" s="79">
        <f>C18</f>
        <v>46117.347222222219</v>
      </c>
      <c r="D19" s="79">
        <f>D18</f>
        <v>46117.352083333331</v>
      </c>
      <c r="E19" s="78" t="str">
        <f>E18</f>
        <v>Group</v>
      </c>
      <c r="F19" s="78">
        <f t="shared" si="7"/>
        <v>2</v>
      </c>
      <c r="G19" s="78">
        <f t="shared" si="8"/>
        <v>4</v>
      </c>
      <c r="H19" s="78" t="str">
        <f ca="1">IF(OR(S19="",T19=""),"",IFERROR(_xludf.XLOOKUP(S19,'Registrations'!#REF!,'Registrations'!#REF!,_xludf.XLOOKUP(S19,'Registrations'!$B$4:$B$211,'Registrations'!$E$4:$E$211,S19)),S19) &amp; " vs " &amp; IFERROR(_xludf.XLOOKUP(T19,'Registrations'!#REF!,'Registrations'!#REF!,_xludf.XLOOKUP(T19,'Registrations'!$B$4:$B$211,'Registrations'!$E$4:$E$211,T19)),T19))</f>
        <v>0 vs 0</v>
      </c>
      <c r="I19" s="78" t="str">
        <f t="shared" ca="1" si="0"/>
        <v>0</v>
      </c>
      <c r="J19" s="78" t="str">
        <f t="shared" ca="1" si="1"/>
        <v>0</v>
      </c>
      <c r="K19" s="78" t="str">
        <f ca="1">Schedules[[#This Row],[Player 1]]</f>
        <v>0</v>
      </c>
      <c r="L19" s="78">
        <v>15</v>
      </c>
      <c r="M19" s="78" t="str">
        <f t="shared" si="2"/>
        <v>WIN</v>
      </c>
      <c r="N19" s="78"/>
      <c r="O19" s="78"/>
      <c r="P19" s="78" t="str">
        <f ca="1">Schedules[[#This Row],[Player 2]]</f>
        <v>0</v>
      </c>
      <c r="Q19" s="78">
        <v>10</v>
      </c>
      <c r="R19" s="78" t="str">
        <f t="shared" si="3"/>
        <v>LOST</v>
      </c>
      <c r="S19" s="105">
        <f>Input!D6</f>
        <v>0</v>
      </c>
      <c r="T19" s="105">
        <f>Input!E6</f>
        <v>0</v>
      </c>
    </row>
    <row r="20" spans="1:20" hidden="1" x14ac:dyDescent="0.3">
      <c r="A20" s="109" t="s">
        <v>49</v>
      </c>
      <c r="B20" s="78" t="str">
        <f t="shared" si="4"/>
        <v>Adda</v>
      </c>
      <c r="C20" s="79">
        <f>D19+TIME(0,3,0)</f>
        <v>46117.354166666664</v>
      </c>
      <c r="D20" s="79">
        <f>C20+TIME(0,7,0)</f>
        <v>46117.359027777777</v>
      </c>
      <c r="E20" s="78" t="str">
        <f>E19</f>
        <v>Group</v>
      </c>
      <c r="F20" s="78">
        <f t="shared" si="7"/>
        <v>1</v>
      </c>
      <c r="G20" s="78">
        <f t="shared" si="8"/>
        <v>3</v>
      </c>
      <c r="H20" s="78" t="str">
        <f ca="1">IF(OR(S20="",T20=""),"",IFERROR(_xludf.XLOOKUP(S20,'Registrations'!#REF!,'Registrations'!#REF!,_xludf.XLOOKUP(S20,'Registrations'!$B$4:$B$211,'Registrations'!$E$4:$E$211,S20)),S20) &amp; " vs " &amp; IFERROR(_xludf.XLOOKUP(T20,'Registrations'!#REF!,'Registrations'!#REF!,_xludf.XLOOKUP(T20,'Registrations'!$B$4:$B$211,'Registrations'!$E$4:$E$211,T20)),T20))</f>
        <v>0 vs 0</v>
      </c>
      <c r="I20" s="78" t="str">
        <f t="shared" ca="1" si="0"/>
        <v>0</v>
      </c>
      <c r="J20" s="78" t="str">
        <f t="shared" ca="1" si="1"/>
        <v>0</v>
      </c>
      <c r="K20" s="78" t="str">
        <f ca="1">Schedules[[#This Row],[Player 1]]</f>
        <v>0</v>
      </c>
      <c r="L20" s="78">
        <v>15</v>
      </c>
      <c r="M20" s="78" t="str">
        <f t="shared" si="2"/>
        <v>WIN</v>
      </c>
      <c r="N20" s="78"/>
      <c r="O20" s="78"/>
      <c r="P20" s="78" t="str">
        <f ca="1">Schedules[[#This Row],[Player 2]]</f>
        <v>0</v>
      </c>
      <c r="Q20" s="78">
        <v>10</v>
      </c>
      <c r="R20" s="78" t="str">
        <f t="shared" si="3"/>
        <v>LOST</v>
      </c>
      <c r="S20" s="105">
        <f>Input!B5</f>
        <v>0</v>
      </c>
      <c r="T20" s="105">
        <f>Input!D5</f>
        <v>0</v>
      </c>
    </row>
    <row r="21" spans="1:20" hidden="1" x14ac:dyDescent="0.3">
      <c r="A21" s="109" t="s">
        <v>49</v>
      </c>
      <c r="B21" s="78" t="str">
        <f t="shared" si="4"/>
        <v>Adda</v>
      </c>
      <c r="C21" s="79">
        <f>C20</f>
        <v>46117.354166666664</v>
      </c>
      <c r="D21" s="79">
        <f>D20</f>
        <v>46117.359027777777</v>
      </c>
      <c r="E21" s="78" t="s">
        <v>433</v>
      </c>
      <c r="F21" s="78">
        <f t="shared" si="7"/>
        <v>2</v>
      </c>
      <c r="G21" s="78">
        <f t="shared" si="8"/>
        <v>4</v>
      </c>
      <c r="H21" s="78" t="str">
        <f ca="1">IF(OR(S21="",T21=""),"",IFERROR(_xludf.XLOOKUP(S21,'Registrations'!#REF!,'Registrations'!#REF!,_xludf.XLOOKUP(S21,'Registrations'!$B$4:$B$211,'Registrations'!$E$4:$E$211,S21)),S21) &amp; " vs " &amp; IFERROR(_xludf.XLOOKUP(T21,'Registrations'!#REF!,'Registrations'!#REF!,_xludf.XLOOKUP(T21,'Registrations'!$B$4:$B$211,'Registrations'!$E$4:$E$211,T21)),T21))</f>
        <v>0 vs 0</v>
      </c>
      <c r="I21" s="78" t="str">
        <f t="shared" ca="1" si="0"/>
        <v>0</v>
      </c>
      <c r="J21" s="78" t="str">
        <f t="shared" ca="1" si="1"/>
        <v>0</v>
      </c>
      <c r="K21" s="78" t="str">
        <f ca="1">Schedules[[#This Row],[Player 1]]</f>
        <v>0</v>
      </c>
      <c r="L21" s="78">
        <v>15</v>
      </c>
      <c r="M21" s="78" t="str">
        <f t="shared" si="2"/>
        <v>WIN</v>
      </c>
      <c r="N21" s="78"/>
      <c r="O21" s="78"/>
      <c r="P21" s="78" t="str">
        <f ca="1">Schedules[[#This Row],[Player 2]]</f>
        <v>0</v>
      </c>
      <c r="Q21" s="78">
        <v>10</v>
      </c>
      <c r="R21" s="78" t="str">
        <f t="shared" si="3"/>
        <v>LOST</v>
      </c>
      <c r="S21" s="105">
        <f>Input!B6</f>
        <v>0</v>
      </c>
      <c r="T21" s="105">
        <f>Input!D6</f>
        <v>0</v>
      </c>
    </row>
    <row r="22" spans="1:20" hidden="1" x14ac:dyDescent="0.3">
      <c r="A22" s="109" t="s">
        <v>49</v>
      </c>
      <c r="B22" s="78" t="str">
        <f t="shared" si="4"/>
        <v>Adda</v>
      </c>
      <c r="C22" s="79">
        <f>D21+TIME(0,3,0)</f>
        <v>46117.361111111109</v>
      </c>
      <c r="D22" s="79">
        <f>C22+TIME(0,7,0)</f>
        <v>46117.365972222222</v>
      </c>
      <c r="E22" s="78" t="str">
        <f>E21</f>
        <v>Group</v>
      </c>
      <c r="F22" s="78">
        <f t="shared" si="7"/>
        <v>1</v>
      </c>
      <c r="G22" s="78">
        <f t="shared" si="8"/>
        <v>3</v>
      </c>
      <c r="H22" s="78" t="str">
        <f ca="1">IF(OR(S22="",T22=""),"",IFERROR(_xludf.XLOOKUP(S22,'Registrations'!#REF!,'Registrations'!#REF!,_xludf.XLOOKUP(S22,'Registrations'!$B$4:$B$211,'Registrations'!$E$4:$E$211,S22)),S22) &amp; " vs " &amp; IFERROR(_xludf.XLOOKUP(T22,'Registrations'!#REF!,'Registrations'!#REF!,_xludf.XLOOKUP(T22,'Registrations'!$B$4:$B$211,'Registrations'!$E$4:$E$211,T22)),T22))</f>
        <v>0 vs 0</v>
      </c>
      <c r="I22" s="78" t="str">
        <f t="shared" ca="1" si="0"/>
        <v>0</v>
      </c>
      <c r="J22" s="78" t="str">
        <f t="shared" ca="1" si="1"/>
        <v>0</v>
      </c>
      <c r="K22" s="78" t="str">
        <f ca="1">Schedules[[#This Row],[Player 1]]</f>
        <v>0</v>
      </c>
      <c r="L22" s="78">
        <v>15</v>
      </c>
      <c r="M22" s="78" t="str">
        <f t="shared" si="2"/>
        <v>WIN</v>
      </c>
      <c r="N22" s="78"/>
      <c r="O22" s="78"/>
      <c r="P22" s="78" t="str">
        <f ca="1">Schedules[[#This Row],[Player 2]]</f>
        <v>0</v>
      </c>
      <c r="Q22" s="78">
        <v>10</v>
      </c>
      <c r="R22" s="78" t="str">
        <f t="shared" si="3"/>
        <v>LOST</v>
      </c>
      <c r="S22" s="105">
        <f>Input!C5</f>
        <v>0</v>
      </c>
      <c r="T22" s="105">
        <f>Input!E5</f>
        <v>0</v>
      </c>
    </row>
    <row r="23" spans="1:20" hidden="1" x14ac:dyDescent="0.3">
      <c r="A23" s="109" t="s">
        <v>49</v>
      </c>
      <c r="B23" s="78" t="str">
        <f t="shared" si="4"/>
        <v>Adda</v>
      </c>
      <c r="C23" s="79">
        <f>C22</f>
        <v>46117.361111111109</v>
      </c>
      <c r="D23" s="79">
        <f>D22</f>
        <v>46117.365972222222</v>
      </c>
      <c r="E23" s="78" t="str">
        <f>E22</f>
        <v>Group</v>
      </c>
      <c r="F23" s="78">
        <f t="shared" si="7"/>
        <v>2</v>
      </c>
      <c r="G23" s="78">
        <f t="shared" si="8"/>
        <v>4</v>
      </c>
      <c r="H23" s="78" t="str">
        <f ca="1">IF(OR(S23="",T23=""),"",IFERROR(_xludf.XLOOKUP(S23,'Registrations'!#REF!,'Registrations'!#REF!,_xludf.XLOOKUP(S23,'Registrations'!$B$4:$B$211,'Registrations'!$E$4:$E$211,S23)),S23) &amp; " vs " &amp; IFERROR(_xludf.XLOOKUP(T23,'Registrations'!#REF!,'Registrations'!#REF!,_xludf.XLOOKUP(T23,'Registrations'!$B$4:$B$211,'Registrations'!$E$4:$E$211,T23)),T23))</f>
        <v>0 vs 0</v>
      </c>
      <c r="I23" s="78" t="str">
        <f t="shared" ca="1" si="0"/>
        <v>0</v>
      </c>
      <c r="J23" s="78" t="str">
        <f t="shared" ca="1" si="1"/>
        <v>0</v>
      </c>
      <c r="K23" s="78" t="str">
        <f ca="1">Schedules[[#This Row],[Player 1]]</f>
        <v>0</v>
      </c>
      <c r="L23" s="78">
        <v>15</v>
      </c>
      <c r="M23" s="78" t="str">
        <f t="shared" si="2"/>
        <v>WIN</v>
      </c>
      <c r="N23" s="78"/>
      <c r="O23" s="78"/>
      <c r="P23" s="78" t="str">
        <f ca="1">Schedules[[#This Row],[Player 2]]</f>
        <v>0</v>
      </c>
      <c r="Q23" s="78">
        <v>10</v>
      </c>
      <c r="R23" s="78" t="str">
        <f t="shared" si="3"/>
        <v>LOST</v>
      </c>
      <c r="S23" s="105">
        <f>Input!C6</f>
        <v>0</v>
      </c>
      <c r="T23" s="105">
        <f>Input!E6</f>
        <v>0</v>
      </c>
    </row>
    <row r="24" spans="1:20" hidden="1" x14ac:dyDescent="0.3">
      <c r="A24" s="109" t="s">
        <v>49</v>
      </c>
      <c r="B24" s="78" t="str">
        <f t="shared" si="4"/>
        <v>Adda</v>
      </c>
      <c r="C24" s="79">
        <f>D23+TIME(0,3,0)</f>
        <v>46117.368055555555</v>
      </c>
      <c r="D24" s="79">
        <f>C24+TIME(0,7,0)</f>
        <v>46117.372916666667</v>
      </c>
      <c r="E24" s="78" t="s">
        <v>433</v>
      </c>
      <c r="F24" s="78">
        <f t="shared" si="7"/>
        <v>1</v>
      </c>
      <c r="G24" s="78">
        <f t="shared" si="8"/>
        <v>3</v>
      </c>
      <c r="H24" s="78" t="str">
        <f ca="1">IF(OR(S24="",T24=""),"",IFERROR(_xludf.XLOOKUP(S24,'Registrations'!#REF!,'Registrations'!#REF!,_xludf.XLOOKUP(S24,'Registrations'!$B$4:$B$211,'Registrations'!$E$4:$E$211,S24)),S24) &amp; " vs " &amp; IFERROR(_xludf.XLOOKUP(T24,'Registrations'!#REF!,'Registrations'!#REF!,_xludf.XLOOKUP(T24,'Registrations'!$B$4:$B$211,'Registrations'!$E$4:$E$211,T24)),T24))</f>
        <v>0 vs 0</v>
      </c>
      <c r="I24" s="78" t="str">
        <f t="shared" ca="1" si="0"/>
        <v>0</v>
      </c>
      <c r="J24" s="78" t="str">
        <f t="shared" ca="1" si="1"/>
        <v>0</v>
      </c>
      <c r="K24" s="78" t="str">
        <f ca="1">Schedules[[#This Row],[Player 1]]</f>
        <v>0</v>
      </c>
      <c r="L24" s="78">
        <v>15</v>
      </c>
      <c r="M24" s="78" t="str">
        <f t="shared" si="2"/>
        <v>WIN</v>
      </c>
      <c r="N24" s="78"/>
      <c r="O24" s="78"/>
      <c r="P24" s="78" t="str">
        <f ca="1">Schedules[[#This Row],[Player 2]]</f>
        <v>0</v>
      </c>
      <c r="Q24" s="78">
        <v>10</v>
      </c>
      <c r="R24" s="78" t="str">
        <f t="shared" si="3"/>
        <v>LOST</v>
      </c>
      <c r="S24" s="105">
        <f>Input!B5</f>
        <v>0</v>
      </c>
      <c r="T24" s="105">
        <f>Input!E5</f>
        <v>0</v>
      </c>
    </row>
    <row r="25" spans="1:20" hidden="1" x14ac:dyDescent="0.3">
      <c r="A25" s="109" t="s">
        <v>49</v>
      </c>
      <c r="B25" s="78" t="str">
        <f t="shared" si="4"/>
        <v>Adda</v>
      </c>
      <c r="C25" s="79">
        <f>C24</f>
        <v>46117.368055555555</v>
      </c>
      <c r="D25" s="79">
        <f>D24</f>
        <v>46117.372916666667</v>
      </c>
      <c r="E25" s="78" t="str">
        <f>E24</f>
        <v>Group</v>
      </c>
      <c r="F25" s="78">
        <f t="shared" si="7"/>
        <v>2</v>
      </c>
      <c r="G25" s="78">
        <f t="shared" si="8"/>
        <v>4</v>
      </c>
      <c r="H25" s="78" t="str">
        <f ca="1">IF(OR(S25="",T25=""),"",IFERROR(_xludf.XLOOKUP(S25,'Registrations'!#REF!,'Registrations'!#REF!,_xludf.XLOOKUP(S25,'Registrations'!$B$4:$B$211,'Registrations'!$E$4:$E$211,S25)),S25) &amp; " vs " &amp; IFERROR(_xludf.XLOOKUP(T25,'Registrations'!#REF!,'Registrations'!#REF!,_xludf.XLOOKUP(T25,'Registrations'!$B$4:$B$211,'Registrations'!$E$4:$E$211,T25)),T25))</f>
        <v>0 vs 0</v>
      </c>
      <c r="I25" s="78" t="str">
        <f t="shared" ca="1" si="0"/>
        <v>0</v>
      </c>
      <c r="J25" s="78" t="str">
        <f t="shared" ca="1" si="1"/>
        <v>0</v>
      </c>
      <c r="K25" s="78" t="str">
        <f ca="1">Schedules[[#This Row],[Player 1]]</f>
        <v>0</v>
      </c>
      <c r="L25" s="78">
        <v>15</v>
      </c>
      <c r="M25" s="78" t="str">
        <f t="shared" si="2"/>
        <v>WIN</v>
      </c>
      <c r="N25" s="78"/>
      <c r="O25" s="78"/>
      <c r="P25" s="78" t="str">
        <f ca="1">Schedules[[#This Row],[Player 2]]</f>
        <v>0</v>
      </c>
      <c r="Q25" s="78">
        <v>10</v>
      </c>
      <c r="R25" s="78" t="str">
        <f t="shared" si="3"/>
        <v>LOST</v>
      </c>
      <c r="S25" s="105">
        <f>Input!B6</f>
        <v>0</v>
      </c>
      <c r="T25" s="105">
        <f>Input!E6</f>
        <v>0</v>
      </c>
    </row>
    <row r="26" spans="1:20" hidden="1" x14ac:dyDescent="0.3">
      <c r="A26" s="109" t="s">
        <v>49</v>
      </c>
      <c r="B26" s="78" t="str">
        <f t="shared" si="4"/>
        <v>Adda</v>
      </c>
      <c r="C26" s="79">
        <f>D25+TIME(0,3,0)</f>
        <v>46117.375</v>
      </c>
      <c r="D26" s="79">
        <f>C26+TIME(0,7,0)</f>
        <v>46117.379861111112</v>
      </c>
      <c r="E26" s="78" t="str">
        <f>E25</f>
        <v>Group</v>
      </c>
      <c r="F26" s="78">
        <f t="shared" si="7"/>
        <v>1</v>
      </c>
      <c r="G26" s="78">
        <f t="shared" si="8"/>
        <v>3</v>
      </c>
      <c r="H26" s="78" t="str">
        <f ca="1">IF(OR(S26="",T26=""),"",IFERROR(_xludf.XLOOKUP(S26,'Registrations'!#REF!,'Registrations'!#REF!,_xludf.XLOOKUP(S26,'Registrations'!$B$4:$B$211,'Registrations'!$E$4:$E$211,S26)),S26) &amp; " vs " &amp; IFERROR(_xludf.XLOOKUP(T26,'Registrations'!#REF!,'Registrations'!#REF!,_xludf.XLOOKUP(T26,'Registrations'!$B$4:$B$211,'Registrations'!$E$4:$E$211,T26)),T26))</f>
        <v>0 vs 0</v>
      </c>
      <c r="I26" s="78" t="str">
        <f t="shared" ca="1" si="0"/>
        <v>0</v>
      </c>
      <c r="J26" s="78" t="str">
        <f t="shared" ca="1" si="1"/>
        <v>0</v>
      </c>
      <c r="K26" s="78" t="str">
        <f ca="1">Schedules[[#This Row],[Player 1]]</f>
        <v>0</v>
      </c>
      <c r="L26" s="78">
        <v>15</v>
      </c>
      <c r="M26" s="78" t="str">
        <f t="shared" si="2"/>
        <v>WIN</v>
      </c>
      <c r="N26" s="78"/>
      <c r="O26" s="78"/>
      <c r="P26" s="78" t="str">
        <f ca="1">Schedules[[#This Row],[Player 2]]</f>
        <v>0</v>
      </c>
      <c r="Q26" s="78">
        <v>10</v>
      </c>
      <c r="R26" s="78" t="str">
        <f t="shared" si="3"/>
        <v>LOST</v>
      </c>
      <c r="S26" s="105">
        <f>Input!C5</f>
        <v>0</v>
      </c>
      <c r="T26" s="105">
        <f>Input!D5</f>
        <v>0</v>
      </c>
    </row>
    <row r="27" spans="1:20" hidden="1" x14ac:dyDescent="0.3">
      <c r="A27" s="109" t="s">
        <v>49</v>
      </c>
      <c r="B27" s="78" t="str">
        <f t="shared" si="4"/>
        <v>Adda</v>
      </c>
      <c r="C27" s="79">
        <f>C26</f>
        <v>46117.375</v>
      </c>
      <c r="D27" s="79">
        <f>D26</f>
        <v>46117.379861111112</v>
      </c>
      <c r="E27" s="78" t="str">
        <f>E26</f>
        <v>Group</v>
      </c>
      <c r="F27" s="78">
        <f t="shared" si="7"/>
        <v>2</v>
      </c>
      <c r="G27" s="78">
        <f t="shared" si="8"/>
        <v>4</v>
      </c>
      <c r="H27" s="78" t="str">
        <f ca="1">IF(OR(S27="",T27=""),"",IFERROR(_xludf.XLOOKUP(S27,'Registrations'!#REF!,'Registrations'!#REF!,_xludf.XLOOKUP(S27,'Registrations'!$B$4:$B$211,'Registrations'!$E$4:$E$211,S27)),S27) &amp; " vs " &amp; IFERROR(_xludf.XLOOKUP(T27,'Registrations'!#REF!,'Registrations'!#REF!,_xludf.XLOOKUP(T27,'Registrations'!$B$4:$B$211,'Registrations'!$E$4:$E$211,T27)),T27))</f>
        <v>0 vs 0</v>
      </c>
      <c r="I27" s="78" t="str">
        <f t="shared" ca="1" si="0"/>
        <v>0</v>
      </c>
      <c r="J27" s="78" t="str">
        <f t="shared" ca="1" si="1"/>
        <v>0</v>
      </c>
      <c r="K27" s="78" t="str">
        <f ca="1">Schedules[[#This Row],[Player 1]]</f>
        <v>0</v>
      </c>
      <c r="L27" s="78">
        <v>15</v>
      </c>
      <c r="M27" s="78" t="str">
        <f t="shared" si="2"/>
        <v>WIN</v>
      </c>
      <c r="N27" s="78"/>
      <c r="O27" s="78"/>
      <c r="P27" s="78" t="str">
        <f ca="1">Schedules[[#This Row],[Player 2]]</f>
        <v>0</v>
      </c>
      <c r="Q27" s="78">
        <v>10</v>
      </c>
      <c r="R27" s="78" t="str">
        <f t="shared" si="3"/>
        <v>LOST</v>
      </c>
      <c r="S27" s="105">
        <f>Input!C6</f>
        <v>0</v>
      </c>
      <c r="T27" s="105">
        <f>Input!D6</f>
        <v>0</v>
      </c>
    </row>
    <row r="28" spans="1:20" hidden="1" x14ac:dyDescent="0.3">
      <c r="A28" s="110" t="s">
        <v>49</v>
      </c>
      <c r="B28" s="76" t="str">
        <f t="shared" si="4"/>
        <v>Adda</v>
      </c>
      <c r="C28" s="77">
        <f>D27+TIME(0,3,0)</f>
        <v>46117.381944444445</v>
      </c>
      <c r="D28" s="77">
        <f>C28+TIME(0,7,0)</f>
        <v>46117.386805555558</v>
      </c>
      <c r="E28" s="76" t="s">
        <v>432</v>
      </c>
      <c r="F28" s="76">
        <f t="shared" si="7"/>
        <v>1</v>
      </c>
      <c r="G28" s="76" t="s">
        <v>430</v>
      </c>
      <c r="H28" s="76" t="str">
        <f ca="1">IF(OR(S28="",T28=""),"",IFERROR(_xludf.XLOOKUP(S28,'Registrations'!#REF!,'Registrations'!#REF!,_xludf.XLOOKUP(S28,'Registrations'!$B$4:$B$211,'Registrations'!$E$4:$E$211,S28)),S28) &amp; " vs " &amp; IFERROR(_xludf.XLOOKUP(T28,'Registrations'!#REF!,'Registrations'!#REF!,_xludf.XLOOKUP(T28,'Registrations'!$B$4:$B$211,'Registrations'!$E$4:$E$211,T28)),T28))</f>
        <v>0 vs 0</v>
      </c>
      <c r="I28" s="76" t="str">
        <f t="shared" ca="1" si="0"/>
        <v>0</v>
      </c>
      <c r="J28" s="76" t="str">
        <f t="shared" ca="1" si="1"/>
        <v>0</v>
      </c>
      <c r="K28" s="76" t="str">
        <f ca="1">Schedules[[#This Row],[Player 1]]</f>
        <v>0</v>
      </c>
      <c r="L28" s="76">
        <v>15</v>
      </c>
      <c r="M28" s="76" t="str">
        <f t="shared" si="2"/>
        <v>WIN</v>
      </c>
      <c r="N28" s="76"/>
      <c r="O28" s="76"/>
      <c r="P28" s="76" t="str">
        <f ca="1">Schedules[[#This Row],[Player 2]]</f>
        <v>0</v>
      </c>
      <c r="Q28" s="76">
        <v>10</v>
      </c>
      <c r="R28" s="76" t="str">
        <f t="shared" si="3"/>
        <v>LOST</v>
      </c>
      <c r="S28" s="105">
        <f>Input!H5</f>
        <v>0</v>
      </c>
      <c r="T28" s="105">
        <f>Input!I5</f>
        <v>0</v>
      </c>
    </row>
    <row r="29" spans="1:20" hidden="1" x14ac:dyDescent="0.3">
      <c r="A29" s="110" t="s">
        <v>49</v>
      </c>
      <c r="B29" s="76" t="str">
        <f t="shared" si="4"/>
        <v>Adda</v>
      </c>
      <c r="C29" s="77">
        <f>C28</f>
        <v>46117.381944444445</v>
      </c>
      <c r="D29" s="77">
        <f>D28</f>
        <v>46117.386805555558</v>
      </c>
      <c r="E29" s="76" t="str">
        <f>E28</f>
        <v>Pre-Q</v>
      </c>
      <c r="F29" s="76">
        <f t="shared" si="7"/>
        <v>2</v>
      </c>
      <c r="G29" s="76" t="s">
        <v>430</v>
      </c>
      <c r="H29" s="76" t="str">
        <f ca="1">IF(OR(S29="",T29=""),"",IFERROR(_xludf.XLOOKUP(S29,'Registrations'!#REF!,'Registrations'!#REF!,_xludf.XLOOKUP(S29,'Registrations'!$B$4:$B$211,'Registrations'!$E$4:$E$211,S29)),S29) &amp; " vs " &amp; IFERROR(_xludf.XLOOKUP(T29,'Registrations'!#REF!,'Registrations'!#REF!,_xludf.XLOOKUP(T29,'Registrations'!$B$4:$B$211,'Registrations'!$E$4:$E$211,T29)),T29))</f>
        <v>0 vs 0</v>
      </c>
      <c r="I29" s="76" t="str">
        <f t="shared" ca="1" si="0"/>
        <v>0</v>
      </c>
      <c r="J29" s="76" t="str">
        <f t="shared" ca="1" si="1"/>
        <v>0</v>
      </c>
      <c r="K29" s="76" t="str">
        <f ca="1">Schedules[[#This Row],[Player 1]]</f>
        <v>0</v>
      </c>
      <c r="L29" s="76">
        <v>15</v>
      </c>
      <c r="M29" s="76" t="str">
        <f t="shared" si="2"/>
        <v>WIN</v>
      </c>
      <c r="N29" s="76"/>
      <c r="O29" s="76"/>
      <c r="P29" s="76" t="str">
        <f ca="1">Schedules[[#This Row],[Player 2]]</f>
        <v>0</v>
      </c>
      <c r="Q29" s="76">
        <v>10</v>
      </c>
      <c r="R29" s="76" t="str">
        <f t="shared" si="3"/>
        <v>LOST</v>
      </c>
      <c r="S29" s="105">
        <f>Input!H6</f>
        <v>0</v>
      </c>
      <c r="T29" s="105">
        <f>Input!I6</f>
        <v>0</v>
      </c>
    </row>
    <row r="30" spans="1:20" hidden="1" x14ac:dyDescent="0.3">
      <c r="A30" s="109" t="s">
        <v>49</v>
      </c>
      <c r="B30" s="78" t="str">
        <f t="shared" si="4"/>
        <v>Adda</v>
      </c>
      <c r="C30" s="79">
        <f>D29+TIME(0,3,0)</f>
        <v>46117.388888888891</v>
      </c>
      <c r="D30" s="79">
        <f>C30+TIME(0,7,0)</f>
        <v>46117.393750000003</v>
      </c>
      <c r="E30" s="78" t="s">
        <v>433</v>
      </c>
      <c r="F30" s="78">
        <f t="shared" si="7"/>
        <v>1</v>
      </c>
      <c r="G30" s="78">
        <v>5</v>
      </c>
      <c r="H30" s="78" t="str">
        <f ca="1">IF(OR(S30="",T30=""),"",IFERROR(_xludf.XLOOKUP(S30,'Registrations'!#REF!,'Registrations'!#REF!,_xludf.XLOOKUP(S30,'Registrations'!$B$4:$B$211,'Registrations'!$E$4:$E$211,S30)),S30) &amp; " vs " &amp; IFERROR(_xludf.XLOOKUP(T30,'Registrations'!#REF!,'Registrations'!#REF!,_xludf.XLOOKUP(T30,'Registrations'!$B$4:$B$211,'Registrations'!$E$4:$E$211,T30)),T30))</f>
        <v>0 vs 0</v>
      </c>
      <c r="I30" s="78" t="str">
        <f t="shared" ca="1" si="0"/>
        <v>0</v>
      </c>
      <c r="J30" s="78" t="str">
        <f t="shared" ca="1" si="1"/>
        <v>0</v>
      </c>
      <c r="K30" s="78" t="str">
        <f ca="1">Schedules[[#This Row],[Player 1]]</f>
        <v>0</v>
      </c>
      <c r="L30" s="78">
        <v>15</v>
      </c>
      <c r="M30" s="78" t="str">
        <f t="shared" si="2"/>
        <v>WIN</v>
      </c>
      <c r="N30" s="78"/>
      <c r="O30" s="78"/>
      <c r="P30" s="78" t="str">
        <f ca="1">Schedules[[#This Row],[Player 2]]</f>
        <v>0</v>
      </c>
      <c r="Q30" s="78">
        <v>10</v>
      </c>
      <c r="R30" s="78" t="str">
        <f t="shared" si="3"/>
        <v>LOST</v>
      </c>
      <c r="S30" s="105">
        <f>Input!B7</f>
        <v>0</v>
      </c>
      <c r="T30" s="105">
        <f>Input!C7</f>
        <v>0</v>
      </c>
    </row>
    <row r="31" spans="1:20" hidden="1" x14ac:dyDescent="0.3">
      <c r="A31" s="109" t="s">
        <v>49</v>
      </c>
      <c r="B31" s="78" t="str">
        <f t="shared" si="4"/>
        <v>Adda</v>
      </c>
      <c r="C31" s="79">
        <f>C30</f>
        <v>46117.388888888891</v>
      </c>
      <c r="D31" s="79">
        <f>D30</f>
        <v>46117.393750000003</v>
      </c>
      <c r="E31" s="78" t="str">
        <f>E30</f>
        <v>Group</v>
      </c>
      <c r="F31" s="78">
        <f t="shared" si="7"/>
        <v>2</v>
      </c>
      <c r="G31" s="78">
        <v>6</v>
      </c>
      <c r="H31" s="78" t="str">
        <f ca="1">IF(OR(S31="",T31=""),"",IFERROR(_xludf.XLOOKUP(S31,'Registrations'!#REF!,'Registrations'!#REF!,_xludf.XLOOKUP(S31,'Registrations'!$B$4:$B$211,'Registrations'!$E$4:$E$211,S31)),S31) &amp; " vs " &amp; IFERROR(_xludf.XLOOKUP(T31,'Registrations'!#REF!,'Registrations'!#REF!,_xludf.XLOOKUP(T31,'Registrations'!$B$4:$B$211,'Registrations'!$E$4:$E$211,T31)),T31))</f>
        <v>0 vs 0</v>
      </c>
      <c r="I31" s="78" t="str">
        <f t="shared" ca="1" si="0"/>
        <v>0</v>
      </c>
      <c r="J31" s="78" t="str">
        <f t="shared" ca="1" si="1"/>
        <v>0</v>
      </c>
      <c r="K31" s="78" t="str">
        <f ca="1">Schedules[[#This Row],[Player 1]]</f>
        <v>0</v>
      </c>
      <c r="L31" s="78">
        <v>15</v>
      </c>
      <c r="M31" s="78" t="str">
        <f t="shared" si="2"/>
        <v>WIN</v>
      </c>
      <c r="N31" s="78"/>
      <c r="O31" s="78"/>
      <c r="P31" s="78" t="str">
        <f ca="1">Schedules[[#This Row],[Player 2]]</f>
        <v>0</v>
      </c>
      <c r="Q31" s="78">
        <v>10</v>
      </c>
      <c r="R31" s="78" t="str">
        <f t="shared" si="3"/>
        <v>LOST</v>
      </c>
      <c r="S31" s="105">
        <f>Input!B8</f>
        <v>0</v>
      </c>
      <c r="T31" s="105">
        <f>Input!C8</f>
        <v>0</v>
      </c>
    </row>
    <row r="32" spans="1:20" hidden="1" x14ac:dyDescent="0.3">
      <c r="A32" s="109" t="s">
        <v>49</v>
      </c>
      <c r="B32" s="78" t="str">
        <f t="shared" si="4"/>
        <v>Adda</v>
      </c>
      <c r="C32" s="79">
        <f>D31+TIME(0,3,0)</f>
        <v>46117.395833333336</v>
      </c>
      <c r="D32" s="79">
        <f>C32+TIME(0,7,0)</f>
        <v>46117.400694444448</v>
      </c>
      <c r="E32" s="78" t="str">
        <f>E31</f>
        <v>Group</v>
      </c>
      <c r="F32" s="78">
        <f t="shared" si="7"/>
        <v>1</v>
      </c>
      <c r="G32" s="78">
        <f t="shared" ref="G32:G41" si="9">G30</f>
        <v>5</v>
      </c>
      <c r="H32" s="78" t="str">
        <f ca="1">IF(OR(S32="",T32=""),"",IFERROR(_xludf.XLOOKUP(S32,'Registrations'!#REF!,'Registrations'!#REF!,_xludf.XLOOKUP(S32,'Registrations'!$B$4:$B$211,'Registrations'!$E$4:$E$211,S32)),S32) &amp; " vs " &amp; IFERROR(_xludf.XLOOKUP(T32,'Registrations'!#REF!,'Registrations'!#REF!,_xludf.XLOOKUP(T32,'Registrations'!$B$4:$B$211,'Registrations'!$E$4:$E$211,T32)),T32))</f>
        <v>0 vs 0</v>
      </c>
      <c r="I32" s="78" t="str">
        <f t="shared" ca="1" si="0"/>
        <v>0</v>
      </c>
      <c r="J32" s="78" t="str">
        <f t="shared" ca="1" si="1"/>
        <v>0</v>
      </c>
      <c r="K32" s="78" t="str">
        <f ca="1">Schedules[[#This Row],[Player 1]]</f>
        <v>0</v>
      </c>
      <c r="L32" s="78">
        <v>15</v>
      </c>
      <c r="M32" s="78" t="str">
        <f t="shared" si="2"/>
        <v>WIN</v>
      </c>
      <c r="N32" s="78"/>
      <c r="O32" s="78"/>
      <c r="P32" s="78" t="str">
        <f ca="1">Schedules[[#This Row],[Player 2]]</f>
        <v>0</v>
      </c>
      <c r="Q32" s="78">
        <v>10</v>
      </c>
      <c r="R32" s="78" t="str">
        <f t="shared" si="3"/>
        <v>LOST</v>
      </c>
      <c r="S32" s="105">
        <f>Input!D7</f>
        <v>0</v>
      </c>
      <c r="T32" s="105">
        <f>Input!E7</f>
        <v>0</v>
      </c>
    </row>
    <row r="33" spans="1:20" hidden="1" x14ac:dyDescent="0.3">
      <c r="A33" s="109" t="s">
        <v>49</v>
      </c>
      <c r="B33" s="78" t="str">
        <f t="shared" si="4"/>
        <v>Adda</v>
      </c>
      <c r="C33" s="79">
        <f>C32</f>
        <v>46117.395833333336</v>
      </c>
      <c r="D33" s="79">
        <f>D32</f>
        <v>46117.400694444448</v>
      </c>
      <c r="E33" s="78" t="str">
        <f>E32</f>
        <v>Group</v>
      </c>
      <c r="F33" s="78">
        <f t="shared" si="7"/>
        <v>2</v>
      </c>
      <c r="G33" s="78">
        <f t="shared" si="9"/>
        <v>6</v>
      </c>
      <c r="H33" s="78" t="str">
        <f ca="1">IF(OR(S33="",T33=""),"",IFERROR(_xludf.XLOOKUP(S33,'Registrations'!#REF!,'Registrations'!#REF!,_xludf.XLOOKUP(S33,'Registrations'!$B$4:$B$211,'Registrations'!$E$4:$E$211,S33)),S33) &amp; " vs " &amp; IFERROR(_xludf.XLOOKUP(T33,'Registrations'!#REF!,'Registrations'!#REF!,_xludf.XLOOKUP(T33,'Registrations'!$B$4:$B$211,'Registrations'!$E$4:$E$211,T33)),T33))</f>
        <v>0 vs 0</v>
      </c>
      <c r="I33" s="78" t="str">
        <f t="shared" ca="1" si="0"/>
        <v>0</v>
      </c>
      <c r="J33" s="78" t="str">
        <f t="shared" ca="1" si="1"/>
        <v>0</v>
      </c>
      <c r="K33" s="78" t="str">
        <f ca="1">Schedules[[#This Row],[Player 1]]</f>
        <v>0</v>
      </c>
      <c r="L33" s="78">
        <v>15</v>
      </c>
      <c r="M33" s="78" t="str">
        <f t="shared" si="2"/>
        <v>WIN</v>
      </c>
      <c r="N33" s="78"/>
      <c r="O33" s="78"/>
      <c r="P33" s="78" t="str">
        <f ca="1">Schedules[[#This Row],[Player 2]]</f>
        <v>0</v>
      </c>
      <c r="Q33" s="78">
        <v>10</v>
      </c>
      <c r="R33" s="78" t="str">
        <f t="shared" si="3"/>
        <v>LOST</v>
      </c>
      <c r="S33" s="105">
        <f>Input!D8</f>
        <v>0</v>
      </c>
      <c r="T33" s="105">
        <f>Input!E8</f>
        <v>0</v>
      </c>
    </row>
    <row r="34" spans="1:20" hidden="1" x14ac:dyDescent="0.3">
      <c r="A34" s="109" t="s">
        <v>49</v>
      </c>
      <c r="B34" s="78" t="str">
        <f t="shared" si="4"/>
        <v>Adda</v>
      </c>
      <c r="C34" s="79">
        <f>D33+TIME(0,3,0)</f>
        <v>46117.402777777781</v>
      </c>
      <c r="D34" s="79">
        <f>C34+TIME(0,7,0)</f>
        <v>46117.407638888893</v>
      </c>
      <c r="E34" s="78" t="str">
        <f>E33</f>
        <v>Group</v>
      </c>
      <c r="F34" s="78">
        <f t="shared" si="7"/>
        <v>1</v>
      </c>
      <c r="G34" s="78">
        <f t="shared" si="9"/>
        <v>5</v>
      </c>
      <c r="H34" s="78" t="str">
        <f ca="1">IF(OR(S34="",T34=""),"",IFERROR(_xludf.XLOOKUP(S34,'Registrations'!#REF!,'Registrations'!#REF!,_xludf.XLOOKUP(S34,'Registrations'!$B$4:$B$211,'Registrations'!$E$4:$E$211,S34)),S34) &amp; " vs " &amp; IFERROR(_xludf.XLOOKUP(T34,'Registrations'!#REF!,'Registrations'!#REF!,_xludf.XLOOKUP(T34,'Registrations'!$B$4:$B$211,'Registrations'!$E$4:$E$211,T34)),T34))</f>
        <v>0 vs 0</v>
      </c>
      <c r="I34" s="78" t="str">
        <f t="shared" ca="1" si="0"/>
        <v>0</v>
      </c>
      <c r="J34" s="78" t="str">
        <f t="shared" ca="1" si="1"/>
        <v>0</v>
      </c>
      <c r="K34" s="78" t="str">
        <f ca="1">Schedules[[#This Row],[Player 1]]</f>
        <v>0</v>
      </c>
      <c r="L34" s="78">
        <v>15</v>
      </c>
      <c r="M34" s="78" t="str">
        <f t="shared" si="2"/>
        <v>WIN</v>
      </c>
      <c r="N34" s="78"/>
      <c r="O34" s="78"/>
      <c r="P34" s="78" t="str">
        <f ca="1">Schedules[[#This Row],[Player 2]]</f>
        <v>0</v>
      </c>
      <c r="Q34" s="78">
        <v>10</v>
      </c>
      <c r="R34" s="78" t="str">
        <f t="shared" si="3"/>
        <v>LOST</v>
      </c>
      <c r="S34" s="105">
        <f>Input!B7</f>
        <v>0</v>
      </c>
      <c r="T34" s="105">
        <f>Input!D7</f>
        <v>0</v>
      </c>
    </row>
    <row r="35" spans="1:20" hidden="1" x14ac:dyDescent="0.3">
      <c r="A35" s="109" t="s">
        <v>49</v>
      </c>
      <c r="B35" s="78" t="str">
        <f t="shared" si="4"/>
        <v>Adda</v>
      </c>
      <c r="C35" s="79">
        <f>C34</f>
        <v>46117.402777777781</v>
      </c>
      <c r="D35" s="79">
        <f>D34</f>
        <v>46117.407638888893</v>
      </c>
      <c r="E35" s="78" t="s">
        <v>433</v>
      </c>
      <c r="F35" s="78">
        <f t="shared" si="7"/>
        <v>2</v>
      </c>
      <c r="G35" s="78">
        <f t="shared" si="9"/>
        <v>6</v>
      </c>
      <c r="H35" s="78" t="str">
        <f ca="1">IF(OR(S35="",T35=""),"",IFERROR(_xludf.XLOOKUP(S35,'Registrations'!#REF!,'Registrations'!#REF!,_xludf.XLOOKUP(S35,'Registrations'!$B$4:$B$211,'Registrations'!$E$4:$E$211,S35)),S35) &amp; " vs " &amp; IFERROR(_xludf.XLOOKUP(T35,'Registrations'!#REF!,'Registrations'!#REF!,_xludf.XLOOKUP(T35,'Registrations'!$B$4:$B$211,'Registrations'!$E$4:$E$211,T35)),T35))</f>
        <v>0 vs 0</v>
      </c>
      <c r="I35" s="78" t="str">
        <f t="shared" ca="1" si="0"/>
        <v>0</v>
      </c>
      <c r="J35" s="78" t="str">
        <f t="shared" ca="1" si="1"/>
        <v>0</v>
      </c>
      <c r="K35" s="78" t="str">
        <f ca="1">Schedules[[#This Row],[Player 1]]</f>
        <v>0</v>
      </c>
      <c r="L35" s="78">
        <v>15</v>
      </c>
      <c r="M35" s="78" t="str">
        <f t="shared" si="2"/>
        <v>WIN</v>
      </c>
      <c r="N35" s="78"/>
      <c r="O35" s="78"/>
      <c r="P35" s="78" t="str">
        <f ca="1">Schedules[[#This Row],[Player 2]]</f>
        <v>0</v>
      </c>
      <c r="Q35" s="78">
        <v>10</v>
      </c>
      <c r="R35" s="78" t="str">
        <f t="shared" si="3"/>
        <v>LOST</v>
      </c>
      <c r="S35" s="105">
        <f>Input!B8</f>
        <v>0</v>
      </c>
      <c r="T35" s="105">
        <f>Input!D8</f>
        <v>0</v>
      </c>
    </row>
    <row r="36" spans="1:20" hidden="1" x14ac:dyDescent="0.3">
      <c r="A36" s="109" t="s">
        <v>49</v>
      </c>
      <c r="B36" s="78" t="str">
        <f t="shared" si="4"/>
        <v>Adda</v>
      </c>
      <c r="C36" s="79">
        <f>D35+TIME(0,3,0)</f>
        <v>46117.409722222226</v>
      </c>
      <c r="D36" s="79">
        <f>C36+TIME(0,7,0)</f>
        <v>46117.414583333339</v>
      </c>
      <c r="E36" s="78" t="s">
        <v>433</v>
      </c>
      <c r="F36" s="78">
        <f t="shared" si="7"/>
        <v>1</v>
      </c>
      <c r="G36" s="78">
        <f t="shared" si="9"/>
        <v>5</v>
      </c>
      <c r="H36" s="78" t="str">
        <f ca="1">IF(OR(S36="",T36=""),"",IFERROR(_xludf.XLOOKUP(S36,'Registrations'!#REF!,'Registrations'!#REF!,_xludf.XLOOKUP(S36,'Registrations'!$B$4:$B$211,'Registrations'!$E$4:$E$211,S36)),S36) &amp; " vs " &amp; IFERROR(_xludf.XLOOKUP(T36,'Registrations'!#REF!,'Registrations'!#REF!,_xludf.XLOOKUP(T36,'Registrations'!$B$4:$B$211,'Registrations'!$E$4:$E$211,T36)),T36))</f>
        <v>0 vs 0</v>
      </c>
      <c r="I36" s="78" t="str">
        <f t="shared" ca="1" si="0"/>
        <v>0</v>
      </c>
      <c r="J36" s="78" t="str">
        <f t="shared" ca="1" si="1"/>
        <v>0</v>
      </c>
      <c r="K36" s="78" t="str">
        <f ca="1">Schedules[[#This Row],[Player 1]]</f>
        <v>0</v>
      </c>
      <c r="L36" s="78">
        <v>15</v>
      </c>
      <c r="M36" s="78" t="str">
        <f t="shared" si="2"/>
        <v>WIN</v>
      </c>
      <c r="N36" s="78"/>
      <c r="O36" s="78"/>
      <c r="P36" s="78" t="str">
        <f ca="1">Schedules[[#This Row],[Player 2]]</f>
        <v>0</v>
      </c>
      <c r="Q36" s="78">
        <v>10</v>
      </c>
      <c r="R36" s="78" t="str">
        <f t="shared" si="3"/>
        <v>LOST</v>
      </c>
      <c r="S36" s="105">
        <f>Input!C7</f>
        <v>0</v>
      </c>
      <c r="T36" s="105">
        <f>Input!E7</f>
        <v>0</v>
      </c>
    </row>
    <row r="37" spans="1:20" hidden="1" x14ac:dyDescent="0.3">
      <c r="A37" s="109" t="s">
        <v>49</v>
      </c>
      <c r="B37" s="78" t="str">
        <f t="shared" si="4"/>
        <v>Adda</v>
      </c>
      <c r="C37" s="79">
        <f>C36</f>
        <v>46117.409722222226</v>
      </c>
      <c r="D37" s="79">
        <f>D36</f>
        <v>46117.414583333339</v>
      </c>
      <c r="E37" s="78" t="s">
        <v>433</v>
      </c>
      <c r="F37" s="78">
        <f t="shared" si="7"/>
        <v>2</v>
      </c>
      <c r="G37" s="78">
        <f t="shared" si="9"/>
        <v>6</v>
      </c>
      <c r="H37" s="78" t="str">
        <f ca="1">IF(OR(S37="",T37=""),"",IFERROR(_xludf.XLOOKUP(S37,'Registrations'!#REF!,'Registrations'!#REF!,_xludf.XLOOKUP(S37,'Registrations'!$B$4:$B$211,'Registrations'!$E$4:$E$211,S37)),S37) &amp; " vs " &amp; IFERROR(_xludf.XLOOKUP(T37,'Registrations'!#REF!,'Registrations'!#REF!,_xludf.XLOOKUP(T37,'Registrations'!$B$4:$B$211,'Registrations'!$E$4:$E$211,T37)),T37))</f>
        <v>0 vs 0</v>
      </c>
      <c r="I37" s="78" t="str">
        <f t="shared" ca="1" si="0"/>
        <v>0</v>
      </c>
      <c r="J37" s="78" t="str">
        <f t="shared" ca="1" si="1"/>
        <v>0</v>
      </c>
      <c r="K37" s="78" t="str">
        <f ca="1">Schedules[[#This Row],[Player 1]]</f>
        <v>0</v>
      </c>
      <c r="L37" s="78">
        <v>15</v>
      </c>
      <c r="M37" s="78" t="str">
        <f t="shared" si="2"/>
        <v>WIN</v>
      </c>
      <c r="N37" s="78"/>
      <c r="O37" s="78"/>
      <c r="P37" s="78" t="str">
        <f ca="1">Schedules[[#This Row],[Player 2]]</f>
        <v>0</v>
      </c>
      <c r="Q37" s="78">
        <v>10</v>
      </c>
      <c r="R37" s="78" t="str">
        <f t="shared" si="3"/>
        <v>LOST</v>
      </c>
      <c r="S37" s="105">
        <f>Input!C8</f>
        <v>0</v>
      </c>
      <c r="T37" s="105">
        <f>Input!E8</f>
        <v>0</v>
      </c>
    </row>
    <row r="38" spans="1:20" hidden="1" x14ac:dyDescent="0.3">
      <c r="A38" s="109" t="s">
        <v>49</v>
      </c>
      <c r="B38" s="78" t="str">
        <f t="shared" si="4"/>
        <v>Adda</v>
      </c>
      <c r="C38" s="79">
        <f>D37+TIME(0,3,0)</f>
        <v>46117.416666666672</v>
      </c>
      <c r="D38" s="79">
        <f>C38+TIME(0,7,0)</f>
        <v>46117.421527777784</v>
      </c>
      <c r="E38" s="78" t="s">
        <v>433</v>
      </c>
      <c r="F38" s="78">
        <f t="shared" si="7"/>
        <v>1</v>
      </c>
      <c r="G38" s="78">
        <f t="shared" si="9"/>
        <v>5</v>
      </c>
      <c r="H38" s="78" t="str">
        <f ca="1">IF(OR(S38="",T38=""),"",IFERROR(_xludf.XLOOKUP(S38,'Registrations'!#REF!,'Registrations'!#REF!,_xludf.XLOOKUP(S38,'Registrations'!$B$4:$B$211,'Registrations'!$E$4:$E$211,S38)),S38) &amp; " vs " &amp; IFERROR(_xludf.XLOOKUP(T38,'Registrations'!#REF!,'Registrations'!#REF!,_xludf.XLOOKUP(T38,'Registrations'!$B$4:$B$211,'Registrations'!$E$4:$E$211,T38)),T38))</f>
        <v>0 vs 0</v>
      </c>
      <c r="I38" s="78" t="str">
        <f t="shared" ca="1" si="0"/>
        <v>0</v>
      </c>
      <c r="J38" s="78" t="str">
        <f t="shared" ca="1" si="1"/>
        <v>0</v>
      </c>
      <c r="K38" s="78" t="str">
        <f ca="1">Schedules[[#This Row],[Player 1]]</f>
        <v>0</v>
      </c>
      <c r="L38" s="78">
        <v>15</v>
      </c>
      <c r="M38" s="78" t="str">
        <f t="shared" si="2"/>
        <v>WIN</v>
      </c>
      <c r="N38" s="78"/>
      <c r="O38" s="78"/>
      <c r="P38" s="78" t="str">
        <f ca="1">Schedules[[#This Row],[Player 2]]</f>
        <v>0</v>
      </c>
      <c r="Q38" s="78">
        <v>10</v>
      </c>
      <c r="R38" s="78" t="str">
        <f t="shared" si="3"/>
        <v>LOST</v>
      </c>
      <c r="S38" s="105">
        <f>Input!B7</f>
        <v>0</v>
      </c>
      <c r="T38" s="105">
        <f>Input!E7</f>
        <v>0</v>
      </c>
    </row>
    <row r="39" spans="1:20" hidden="1" x14ac:dyDescent="0.3">
      <c r="A39" s="109" t="s">
        <v>49</v>
      </c>
      <c r="B39" s="78" t="str">
        <f t="shared" si="4"/>
        <v>Adda</v>
      </c>
      <c r="C39" s="79">
        <f>C38</f>
        <v>46117.416666666672</v>
      </c>
      <c r="D39" s="79">
        <f>D38</f>
        <v>46117.421527777784</v>
      </c>
      <c r="E39" s="78" t="str">
        <f>E38</f>
        <v>Group</v>
      </c>
      <c r="F39" s="78">
        <f t="shared" si="7"/>
        <v>2</v>
      </c>
      <c r="G39" s="78">
        <f t="shared" si="9"/>
        <v>6</v>
      </c>
      <c r="H39" s="78" t="str">
        <f ca="1">IF(OR(S39="",T39=""),"",IFERROR(_xludf.XLOOKUP(S39,'Registrations'!#REF!,'Registrations'!#REF!,_xludf.XLOOKUP(S39,'Registrations'!$B$4:$B$211,'Registrations'!$E$4:$E$211,S39)),S39) &amp; " vs " &amp; IFERROR(_xludf.XLOOKUP(T39,'Registrations'!#REF!,'Registrations'!#REF!,_xludf.XLOOKUP(T39,'Registrations'!$B$4:$B$211,'Registrations'!$E$4:$E$211,T39)),T39))</f>
        <v>0 vs 0</v>
      </c>
      <c r="I39" s="78" t="str">
        <f t="shared" ca="1" si="0"/>
        <v>0</v>
      </c>
      <c r="J39" s="78" t="str">
        <f t="shared" ca="1" si="1"/>
        <v>0</v>
      </c>
      <c r="K39" s="78" t="str">
        <f ca="1">Schedules[[#This Row],[Player 1]]</f>
        <v>0</v>
      </c>
      <c r="L39" s="78">
        <v>15</v>
      </c>
      <c r="M39" s="78" t="str">
        <f t="shared" si="2"/>
        <v>WIN</v>
      </c>
      <c r="N39" s="78"/>
      <c r="O39" s="78"/>
      <c r="P39" s="78" t="str">
        <f ca="1">Schedules[[#This Row],[Player 2]]</f>
        <v>0</v>
      </c>
      <c r="Q39" s="78">
        <v>10</v>
      </c>
      <c r="R39" s="78" t="str">
        <f t="shared" si="3"/>
        <v>LOST</v>
      </c>
      <c r="S39" s="105">
        <f>Input!B8</f>
        <v>0</v>
      </c>
      <c r="T39" s="105">
        <f>Input!E8</f>
        <v>0</v>
      </c>
    </row>
    <row r="40" spans="1:20" hidden="1" x14ac:dyDescent="0.3">
      <c r="A40" s="109" t="s">
        <v>49</v>
      </c>
      <c r="B40" s="78" t="str">
        <f t="shared" si="4"/>
        <v>Adda</v>
      </c>
      <c r="C40" s="79">
        <f>D39+TIME(0,3,0)</f>
        <v>46117.423611111117</v>
      </c>
      <c r="D40" s="79">
        <f>C40+TIME(0,7,0)</f>
        <v>46117.428472222229</v>
      </c>
      <c r="E40" s="78" t="str">
        <f>E39</f>
        <v>Group</v>
      </c>
      <c r="F40" s="78">
        <f t="shared" si="7"/>
        <v>1</v>
      </c>
      <c r="G40" s="78">
        <f t="shared" si="9"/>
        <v>5</v>
      </c>
      <c r="H40" s="78" t="str">
        <f ca="1">IF(OR(S40="",T40=""),"",IFERROR(_xludf.XLOOKUP(S40,'Registrations'!#REF!,'Registrations'!#REF!,_xludf.XLOOKUP(S40,'Registrations'!$B$4:$B$211,'Registrations'!$E$4:$E$211,S40)),S40) &amp; " vs " &amp; IFERROR(_xludf.XLOOKUP(T40,'Registrations'!#REF!,'Registrations'!#REF!,_xludf.XLOOKUP(T40,'Registrations'!$B$4:$B$211,'Registrations'!$E$4:$E$211,T40)),T40))</f>
        <v>0 vs 0</v>
      </c>
      <c r="I40" s="78" t="str">
        <f t="shared" ca="1" si="0"/>
        <v>0</v>
      </c>
      <c r="J40" s="78" t="str">
        <f t="shared" ca="1" si="1"/>
        <v>0</v>
      </c>
      <c r="K40" s="78" t="str">
        <f ca="1">Schedules[[#This Row],[Player 1]]</f>
        <v>0</v>
      </c>
      <c r="L40" s="78">
        <v>15</v>
      </c>
      <c r="M40" s="78" t="str">
        <f t="shared" si="2"/>
        <v>WIN</v>
      </c>
      <c r="N40" s="78"/>
      <c r="O40" s="78"/>
      <c r="P40" s="78" t="str">
        <f ca="1">Schedules[[#This Row],[Player 2]]</f>
        <v>0</v>
      </c>
      <c r="Q40" s="78">
        <v>10</v>
      </c>
      <c r="R40" s="78" t="str">
        <f t="shared" si="3"/>
        <v>LOST</v>
      </c>
      <c r="S40" s="105">
        <f>Input!C7</f>
        <v>0</v>
      </c>
      <c r="T40" s="105">
        <f>Input!D7</f>
        <v>0</v>
      </c>
    </row>
    <row r="41" spans="1:20" hidden="1" x14ac:dyDescent="0.3">
      <c r="A41" s="109" t="s">
        <v>49</v>
      </c>
      <c r="B41" s="78" t="str">
        <f t="shared" si="4"/>
        <v>Adda</v>
      </c>
      <c r="C41" s="79">
        <f>C40</f>
        <v>46117.423611111117</v>
      </c>
      <c r="D41" s="79">
        <f>D40</f>
        <v>46117.428472222229</v>
      </c>
      <c r="E41" s="78" t="s">
        <v>433</v>
      </c>
      <c r="F41" s="78">
        <f t="shared" si="7"/>
        <v>2</v>
      </c>
      <c r="G41" s="78">
        <f t="shared" si="9"/>
        <v>6</v>
      </c>
      <c r="H41" s="78" t="str">
        <f ca="1">IF(OR(S41="",T41=""),"",IFERROR(_xludf.XLOOKUP(S41,'Registrations'!#REF!,'Registrations'!#REF!,_xludf.XLOOKUP(S41,'Registrations'!$B$4:$B$211,'Registrations'!$E$4:$E$211,S41)),S41) &amp; " vs " &amp; IFERROR(_xludf.XLOOKUP(T41,'Registrations'!#REF!,'Registrations'!#REF!,_xludf.XLOOKUP(T41,'Registrations'!$B$4:$B$211,'Registrations'!$E$4:$E$211,T41)),T41))</f>
        <v>0 vs 0</v>
      </c>
      <c r="I41" s="78" t="str">
        <f t="shared" ca="1" si="0"/>
        <v>0</v>
      </c>
      <c r="J41" s="78" t="str">
        <f t="shared" ca="1" si="1"/>
        <v>0</v>
      </c>
      <c r="K41" s="78" t="str">
        <f ca="1">Schedules[[#This Row],[Player 1]]</f>
        <v>0</v>
      </c>
      <c r="L41" s="78">
        <v>15</v>
      </c>
      <c r="M41" s="78" t="str">
        <f t="shared" si="2"/>
        <v>WIN</v>
      </c>
      <c r="N41" s="78"/>
      <c r="O41" s="78"/>
      <c r="P41" s="78" t="str">
        <f ca="1">Schedules[[#This Row],[Player 2]]</f>
        <v>0</v>
      </c>
      <c r="Q41" s="78">
        <v>10</v>
      </c>
      <c r="R41" s="78" t="str">
        <f t="shared" si="3"/>
        <v>LOST</v>
      </c>
      <c r="S41" s="105">
        <f>Input!C8</f>
        <v>0</v>
      </c>
      <c r="T41" s="105">
        <f>Input!D8</f>
        <v>0</v>
      </c>
    </row>
    <row r="42" spans="1:20" hidden="1" x14ac:dyDescent="0.3">
      <c r="A42" s="110" t="s">
        <v>49</v>
      </c>
      <c r="B42" s="76" t="str">
        <f t="shared" si="4"/>
        <v>Adda</v>
      </c>
      <c r="C42" s="77">
        <f>D41+TIME(0,3,0)</f>
        <v>46117.430555555562</v>
      </c>
      <c r="D42" s="77">
        <f>C42+TIME(0,7,0)</f>
        <v>46117.435416666674</v>
      </c>
      <c r="E42" s="76" t="s">
        <v>432</v>
      </c>
      <c r="F42" s="76">
        <f t="shared" si="7"/>
        <v>1</v>
      </c>
      <c r="G42" s="76" t="s">
        <v>431</v>
      </c>
      <c r="H42" s="76" t="str">
        <f ca="1">IF(OR(S42="",T42=""),"",IFERROR(_xludf.XLOOKUP(S42,'Registrations'!#REF!,'Registrations'!#REF!,_xludf.XLOOKUP(S42,'Registrations'!$B$4:$B$211,'Registrations'!$E$4:$E$211,S42)),S42) &amp; " vs " &amp; IFERROR(_xludf.XLOOKUP(T42,'Registrations'!#REF!,'Registrations'!#REF!,_xludf.XLOOKUP(T42,'Registrations'!$B$4:$B$211,'Registrations'!$E$4:$E$211,T42)),T42))</f>
        <v>0 vs 0</v>
      </c>
      <c r="I42" s="76" t="str">
        <f t="shared" ca="1" si="0"/>
        <v>0</v>
      </c>
      <c r="J42" s="76" t="str">
        <f t="shared" ca="1" si="1"/>
        <v>0</v>
      </c>
      <c r="K42" s="76" t="str">
        <f ca="1">Schedules[[#This Row],[Player 1]]</f>
        <v>0</v>
      </c>
      <c r="L42" s="76">
        <v>15</v>
      </c>
      <c r="M42" s="76" t="str">
        <f t="shared" si="2"/>
        <v>WIN</v>
      </c>
      <c r="N42" s="76"/>
      <c r="O42" s="76"/>
      <c r="P42" s="76" t="str">
        <f ca="1">Schedules[[#This Row],[Player 2]]</f>
        <v>0</v>
      </c>
      <c r="Q42" s="76">
        <v>10</v>
      </c>
      <c r="R42" s="76" t="str">
        <f t="shared" si="3"/>
        <v>LOST</v>
      </c>
      <c r="S42" s="105">
        <f>Input!H7</f>
        <v>0</v>
      </c>
      <c r="T42" s="105">
        <f>Input!I7</f>
        <v>0</v>
      </c>
    </row>
    <row r="43" spans="1:20" hidden="1" x14ac:dyDescent="0.3">
      <c r="A43" s="110" t="s">
        <v>49</v>
      </c>
      <c r="B43" s="76" t="str">
        <f t="shared" si="4"/>
        <v>Adda</v>
      </c>
      <c r="C43" s="77">
        <f>C42</f>
        <v>46117.430555555562</v>
      </c>
      <c r="D43" s="77">
        <f>D42</f>
        <v>46117.435416666674</v>
      </c>
      <c r="E43" s="76" t="str">
        <f>E42</f>
        <v>Pre-Q</v>
      </c>
      <c r="F43" s="76">
        <f t="shared" si="7"/>
        <v>2</v>
      </c>
      <c r="G43" s="76" t="s">
        <v>431</v>
      </c>
      <c r="H43" s="76" t="str">
        <f ca="1">IF(OR(S43="",T43=""),"",IFERROR(_xludf.XLOOKUP(S43,'Registrations'!#REF!,'Registrations'!#REF!,_xludf.XLOOKUP(S43,'Registrations'!$B$4:$B$211,'Registrations'!$E$4:$E$211,S43)),S43) &amp; " vs " &amp; IFERROR(_xludf.XLOOKUP(T43,'Registrations'!#REF!,'Registrations'!#REF!,_xludf.XLOOKUP(T43,'Registrations'!$B$4:$B$211,'Registrations'!$E$4:$E$211,T43)),T43))</f>
        <v>0 vs 0</v>
      </c>
      <c r="I43" s="76" t="str">
        <f t="shared" ca="1" si="0"/>
        <v>0</v>
      </c>
      <c r="J43" s="76" t="str">
        <f t="shared" ca="1" si="1"/>
        <v>0</v>
      </c>
      <c r="K43" s="76" t="str">
        <f ca="1">Schedules[[#This Row],[Player 1]]</f>
        <v>0</v>
      </c>
      <c r="L43" s="76">
        <v>15</v>
      </c>
      <c r="M43" s="76" t="str">
        <f t="shared" si="2"/>
        <v>WIN</v>
      </c>
      <c r="N43" s="76"/>
      <c r="O43" s="76"/>
      <c r="P43" s="76" t="str">
        <f ca="1">Schedules[[#This Row],[Player 2]]</f>
        <v>0</v>
      </c>
      <c r="Q43" s="76">
        <v>10</v>
      </c>
      <c r="R43" s="76" t="str">
        <f t="shared" si="3"/>
        <v>LOST</v>
      </c>
      <c r="S43" s="105">
        <f>Input!H8</f>
        <v>0</v>
      </c>
      <c r="T43" s="105">
        <f>Input!I8</f>
        <v>0</v>
      </c>
    </row>
    <row r="44" spans="1:20" hidden="1" x14ac:dyDescent="0.3">
      <c r="A44" s="111" t="s">
        <v>49</v>
      </c>
      <c r="B44" s="74" t="str">
        <f t="shared" si="4"/>
        <v>Adda</v>
      </c>
      <c r="C44" s="75">
        <f>D43+TIME(0,3,0)</f>
        <v>46117.437500000007</v>
      </c>
      <c r="D44" s="75">
        <f>C44+TIME(0,7,0)</f>
        <v>46117.44236111112</v>
      </c>
      <c r="E44" s="74" t="s">
        <v>40</v>
      </c>
      <c r="F44" s="74">
        <f t="shared" si="7"/>
        <v>1</v>
      </c>
      <c r="G44" s="74" t="s">
        <v>429</v>
      </c>
      <c r="H44" s="74" t="str">
        <f ca="1">IF(OR(S44="",T44=""),"",IFERROR(_xludf.XLOOKUP(S44,'Registrations'!#REF!,'Registrations'!#REF!,_xludf.XLOOKUP(S44,'Registrations'!$B$4:$B$211,'Registrations'!$E$4:$E$211,S44)),S44) &amp; " vs " &amp; IFERROR(_xludf.XLOOKUP(T44,'Registrations'!#REF!,'Registrations'!#REF!,_xludf.XLOOKUP(T44,'Registrations'!$B$4:$B$211,'Registrations'!$E$4:$E$211,T44)),T44))</f>
        <v>Sanjay Gatti vs 0</v>
      </c>
      <c r="I44" s="74" t="str">
        <f t="shared" ca="1" si="0"/>
        <v>Sanjay Gatti</v>
      </c>
      <c r="J44" s="74" t="str">
        <f t="shared" ca="1" si="1"/>
        <v>0</v>
      </c>
      <c r="K44" s="74" t="str">
        <f ca="1">Schedules[[#This Row],[Player 1]]</f>
        <v>Sanjay Gatti</v>
      </c>
      <c r="L44" s="74">
        <v>15</v>
      </c>
      <c r="M44" s="74" t="str">
        <f t="shared" si="2"/>
        <v>WIN</v>
      </c>
      <c r="N44" s="74"/>
      <c r="O44" s="74"/>
      <c r="P44" s="74" t="str">
        <f ca="1">Schedules[[#This Row],[Player 2]]</f>
        <v>0</v>
      </c>
      <c r="Q44" s="74">
        <v>10</v>
      </c>
      <c r="R44" s="74" t="str">
        <f t="shared" si="3"/>
        <v>LOST</v>
      </c>
      <c r="S44" s="61" t="str">
        <f>Input!L3</f>
        <v>Sanjay Gatti</v>
      </c>
      <c r="T44" s="61">
        <f>Input!M3</f>
        <v>0</v>
      </c>
    </row>
    <row r="45" spans="1:20" hidden="1" x14ac:dyDescent="0.3">
      <c r="A45" s="111" t="s">
        <v>49</v>
      </c>
      <c r="B45" s="74" t="str">
        <f t="shared" si="4"/>
        <v>Adda</v>
      </c>
      <c r="C45" s="75">
        <f>C44</f>
        <v>46117.437500000007</v>
      </c>
      <c r="D45" s="75">
        <f>D44</f>
        <v>46117.44236111112</v>
      </c>
      <c r="E45" s="74" t="str">
        <f>E44</f>
        <v>Quarters</v>
      </c>
      <c r="F45" s="74">
        <f t="shared" si="7"/>
        <v>2</v>
      </c>
      <c r="G45" s="74" t="s">
        <v>428</v>
      </c>
      <c r="H45" s="74" t="str">
        <f ca="1">IF(OR(S45="",T45=""),"",IFERROR(_xludf.XLOOKUP(S45,'Registrations'!#REF!,'Registrations'!#REF!,_xludf.XLOOKUP(S45,'Registrations'!$B$4:$B$211,'Registrations'!$E$4:$E$211,S45)),S45) &amp; " vs " &amp; IFERROR(_xludf.XLOOKUP(T45,'Registrations'!#REF!,'Registrations'!#REF!,_xludf.XLOOKUP(T45,'Registrations'!$B$4:$B$211,'Registrations'!$E$4:$E$211,T45)),T45))</f>
        <v>0 vs 0</v>
      </c>
      <c r="I45" s="74" t="str">
        <f t="shared" ca="1" si="0"/>
        <v>0</v>
      </c>
      <c r="J45" s="74" t="str">
        <f t="shared" ca="1" si="1"/>
        <v>0</v>
      </c>
      <c r="K45" s="74" t="str">
        <f ca="1">Schedules[[#This Row],[Player 1]]</f>
        <v>0</v>
      </c>
      <c r="L45" s="74">
        <v>15</v>
      </c>
      <c r="M45" s="74" t="str">
        <f t="shared" si="2"/>
        <v>WIN</v>
      </c>
      <c r="N45" s="74"/>
      <c r="O45" s="74"/>
      <c r="P45" s="74" t="str">
        <f ca="1">Schedules[[#This Row],[Player 2]]</f>
        <v>0</v>
      </c>
      <c r="Q45" s="74">
        <v>10</v>
      </c>
      <c r="R45" s="74" t="str">
        <f t="shared" si="3"/>
        <v>LOST</v>
      </c>
      <c r="S45" s="61">
        <f>Input!L4</f>
        <v>0</v>
      </c>
      <c r="T45" s="61">
        <f>Input!M4</f>
        <v>0</v>
      </c>
    </row>
    <row r="46" spans="1:20" hidden="1" x14ac:dyDescent="0.3">
      <c r="A46" s="111" t="s">
        <v>49</v>
      </c>
      <c r="B46" s="74" t="str">
        <f t="shared" si="4"/>
        <v>Adda</v>
      </c>
      <c r="C46" s="75">
        <f>D45+TIME(0,3,0)</f>
        <v>46117.444444444453</v>
      </c>
      <c r="D46" s="75">
        <f>C46+TIME(0,7,0)</f>
        <v>46117.449305555565</v>
      </c>
      <c r="E46" s="74" t="s">
        <v>40</v>
      </c>
      <c r="F46" s="74">
        <f t="shared" si="7"/>
        <v>1</v>
      </c>
      <c r="G46" s="74" t="s">
        <v>430</v>
      </c>
      <c r="H46" s="74" t="str">
        <f ca="1">IF(OR(S46="",T46=""),"",IFERROR(_xludf.XLOOKUP(S46,'Registrations'!#REF!,'Registrations'!#REF!,_xludf.XLOOKUP(S46,'Registrations'!$B$4:$B$211,'Registrations'!$E$4:$E$211,S46)),S46) &amp; " vs " &amp; IFERROR(_xludf.XLOOKUP(T46,'Registrations'!#REF!,'Registrations'!#REF!,_xludf.XLOOKUP(T46,'Registrations'!$B$4:$B$211,'Registrations'!$E$4:$E$211,T46)),T46))</f>
        <v>0 vs 0</v>
      </c>
      <c r="I46" s="74" t="str">
        <f t="shared" ca="1" si="0"/>
        <v>0</v>
      </c>
      <c r="J46" s="74" t="str">
        <f t="shared" ca="1" si="1"/>
        <v>0</v>
      </c>
      <c r="K46" s="74" t="str">
        <f ca="1">Schedules[[#This Row],[Player 1]]</f>
        <v>0</v>
      </c>
      <c r="L46" s="74">
        <v>15</v>
      </c>
      <c r="M46" s="74" t="str">
        <f t="shared" si="2"/>
        <v>WIN</v>
      </c>
      <c r="N46" s="74"/>
      <c r="O46" s="74"/>
      <c r="P46" s="74" t="str">
        <f ca="1">Schedules[[#This Row],[Player 2]]</f>
        <v>0</v>
      </c>
      <c r="Q46" s="74">
        <v>10</v>
      </c>
      <c r="R46" s="74" t="str">
        <f t="shared" si="3"/>
        <v>LOST</v>
      </c>
      <c r="S46" s="61">
        <f>Input!L5</f>
        <v>0</v>
      </c>
      <c r="T46" s="61">
        <f>Input!M5</f>
        <v>0</v>
      </c>
    </row>
    <row r="47" spans="1:20" hidden="1" x14ac:dyDescent="0.3">
      <c r="A47" s="112" t="s">
        <v>49</v>
      </c>
      <c r="B47" s="70" t="str">
        <f t="shared" si="4"/>
        <v>Adda</v>
      </c>
      <c r="C47" s="71">
        <f>C46</f>
        <v>46117.444444444453</v>
      </c>
      <c r="D47" s="71">
        <f>D46</f>
        <v>46117.449305555565</v>
      </c>
      <c r="E47" s="70" t="s">
        <v>424</v>
      </c>
      <c r="F47" s="70">
        <f t="shared" si="7"/>
        <v>2</v>
      </c>
      <c r="G47" s="70"/>
      <c r="H47" s="70"/>
      <c r="I47" s="70"/>
      <c r="J47" s="70"/>
      <c r="K47" s="70">
        <f>Schedules[[#This Row],[Player 1]]</f>
        <v>0</v>
      </c>
      <c r="L47" s="70"/>
      <c r="M47" s="70"/>
      <c r="N47" s="70"/>
      <c r="O47" s="70"/>
      <c r="P47" s="70">
        <f>Schedules[[#This Row],[Player 2]]</f>
        <v>0</v>
      </c>
      <c r="Q47" s="70"/>
      <c r="R47" s="70"/>
      <c r="T47" s="61"/>
    </row>
    <row r="48" spans="1:20" hidden="1" x14ac:dyDescent="0.3">
      <c r="A48" s="113" t="s">
        <v>49</v>
      </c>
      <c r="B48" s="72" t="str">
        <f t="shared" si="4"/>
        <v>Adda</v>
      </c>
      <c r="C48" s="73">
        <f>D47+TIME(0,3,0)</f>
        <v>46117.451388888898</v>
      </c>
      <c r="D48" s="73">
        <f>C48+TIME(0,7,0)</f>
        <v>46117.45625000001</v>
      </c>
      <c r="E48" s="72" t="s">
        <v>444</v>
      </c>
      <c r="F48" s="72">
        <f t="shared" si="7"/>
        <v>1</v>
      </c>
      <c r="G48" s="72" t="s">
        <v>443</v>
      </c>
      <c r="H48" s="72" t="str">
        <f ca="1">IF(OR(S48="",T48=""),"",IFERROR(_xludf.XLOOKUP(S48,'Registrations'!#REF!,'Registrations'!#REF!,_xludf.XLOOKUP(S48,'Registrations'!$B$4:$B$211,'Registrations'!$E$4:$E$211,S48)),S48) &amp; " vs " &amp; IFERROR(_xludf.XLOOKUP(T48,'Registrations'!#REF!,'Registrations'!#REF!,_xludf.XLOOKUP(T48,'Registrations'!$B$4:$B$211,'Registrations'!$E$4:$E$211,T48)),T48))</f>
        <v>Sanjay Gatti vs 0</v>
      </c>
      <c r="I48" s="72" t="str">
        <f t="shared" ca="1" si="0"/>
        <v>Sanjay Gatti</v>
      </c>
      <c r="J48" s="72" t="str">
        <f t="shared" ref="J48:J50" ca="1" si="10">_xlfn.TEXTAFTER(H48," vs ")</f>
        <v>0</v>
      </c>
      <c r="K48" s="72" t="str">
        <f ca="1">Schedules[[#This Row],[Player 1]]</f>
        <v>Sanjay Gatti</v>
      </c>
      <c r="L48" s="72">
        <v>15</v>
      </c>
      <c r="M48" s="72" t="str">
        <f t="shared" si="2"/>
        <v>WIN</v>
      </c>
      <c r="N48" s="72"/>
      <c r="O48" s="72"/>
      <c r="P48" s="72" t="str">
        <f ca="1">Schedules[[#This Row],[Player 2]]</f>
        <v>0</v>
      </c>
      <c r="Q48" s="72">
        <v>10</v>
      </c>
      <c r="R48" s="72" t="str">
        <f t="shared" si="3"/>
        <v>LOST</v>
      </c>
      <c r="S48" s="61" t="str">
        <f>Input!P3</f>
        <v>Sanjay Gatti</v>
      </c>
      <c r="T48" s="61">
        <f>Input!Q3</f>
        <v>0</v>
      </c>
    </row>
    <row r="49" spans="1:21" hidden="1" x14ac:dyDescent="0.3">
      <c r="A49" s="113" t="s">
        <v>49</v>
      </c>
      <c r="B49" s="72" t="str">
        <f t="shared" si="4"/>
        <v>Adda</v>
      </c>
      <c r="C49" s="73">
        <f>C48</f>
        <v>46117.451388888898</v>
      </c>
      <c r="D49" s="73">
        <f>D48</f>
        <v>46117.45625000001</v>
      </c>
      <c r="E49" s="72" t="str">
        <f>E48</f>
        <v>Semi Finals</v>
      </c>
      <c r="F49" s="72">
        <f t="shared" si="7"/>
        <v>2</v>
      </c>
      <c r="G49" s="72" t="s">
        <v>445</v>
      </c>
      <c r="H49" s="72" t="str">
        <f ca="1">IF(OR(S49="",T49=""),"",IFERROR(_xludf.XLOOKUP(S49,'Registrations'!#REF!,'Registrations'!#REF!,_xludf.XLOOKUP(S49,'Registrations'!$B$4:$B$211,'Registrations'!$E$4:$E$211,S49)),S49) &amp; " vs " &amp; IFERROR(_xludf.XLOOKUP(T49,'Registrations'!#REF!,'Registrations'!#REF!,_xludf.XLOOKUP(T49,'Registrations'!$B$4:$B$211,'Registrations'!$E$4:$E$211,T49)),T49))</f>
        <v>0 vs WC 01</v>
      </c>
      <c r="I49" s="72" t="str">
        <f t="shared" ca="1" si="0"/>
        <v>0</v>
      </c>
      <c r="J49" s="72" t="str">
        <f t="shared" ca="1" si="10"/>
        <v>WC 01</v>
      </c>
      <c r="K49" s="72" t="str">
        <f ca="1">Schedules[[#This Row],[Player 1]]</f>
        <v>0</v>
      </c>
      <c r="L49" s="72">
        <v>15</v>
      </c>
      <c r="M49" s="72" t="str">
        <f t="shared" si="2"/>
        <v>WIN</v>
      </c>
      <c r="N49" s="72"/>
      <c r="O49" s="72"/>
      <c r="P49" s="72" t="str">
        <f ca="1">Schedules[[#This Row],[Player 2]]</f>
        <v>WC 01</v>
      </c>
      <c r="Q49" s="72">
        <v>10</v>
      </c>
      <c r="R49" s="72" t="str">
        <f t="shared" si="3"/>
        <v>LOST</v>
      </c>
      <c r="S49" s="61">
        <f>Input!P4</f>
        <v>0</v>
      </c>
      <c r="T49" s="61" t="str">
        <f>Input!Q4</f>
        <v>WC 01</v>
      </c>
    </row>
    <row r="50" spans="1:21" hidden="1" x14ac:dyDescent="0.3">
      <c r="A50" s="114" t="s">
        <v>49</v>
      </c>
      <c r="B50" s="68" t="str">
        <f t="shared" si="4"/>
        <v>Adda</v>
      </c>
      <c r="C50" s="69">
        <f>D49+TIME(0,3,0)</f>
        <v>46117.458333333343</v>
      </c>
      <c r="D50" s="69">
        <f>C50+TIME(0,7,0)</f>
        <v>46117.463194444455</v>
      </c>
      <c r="E50" s="68" t="s">
        <v>41</v>
      </c>
      <c r="F50" s="68">
        <v>1</v>
      </c>
      <c r="G50" s="68" t="s">
        <v>422</v>
      </c>
      <c r="H50" s="68" t="str">
        <f ca="1">IF(OR(S50="",T50=""),"",IFERROR(_xludf.XLOOKUP(S50,'Registrations'!#REF!,'Registrations'!#REF!,_xludf.XLOOKUP(S50,'Registrations'!$B$4:$B$211,'Registrations'!$E$4:$E$211,S50)),S50) &amp; " vs " &amp; IFERROR(_xludf.XLOOKUP(T50,'Registrations'!#REF!,'Registrations'!#REF!,_xludf.XLOOKUP(T50,'Registrations'!$B$4:$B$211,'Registrations'!$E$4:$E$211,T50)),T50))</f>
        <v>Sanjay Gatti vs 0</v>
      </c>
      <c r="I50" s="68" t="str">
        <f t="shared" ca="1" si="0"/>
        <v>Sanjay Gatti</v>
      </c>
      <c r="J50" s="68" t="str">
        <f t="shared" ca="1" si="10"/>
        <v>0</v>
      </c>
      <c r="K50" s="68" t="str">
        <f ca="1">Schedules[[#This Row],[Player 1]]</f>
        <v>Sanjay Gatti</v>
      </c>
      <c r="L50" s="68">
        <v>15</v>
      </c>
      <c r="M50" s="68" t="str">
        <f t="shared" si="2"/>
        <v>WIN</v>
      </c>
      <c r="N50" s="68"/>
      <c r="O50" s="68"/>
      <c r="P50" s="68" t="str">
        <f ca="1">Schedules[[#This Row],[Player 2]]</f>
        <v>0</v>
      </c>
      <c r="Q50" s="68">
        <v>10</v>
      </c>
      <c r="R50" s="68" t="str">
        <f t="shared" si="3"/>
        <v>LOST</v>
      </c>
      <c r="S50" s="61" t="str">
        <f>Input!T3</f>
        <v>Sanjay Gatti</v>
      </c>
      <c r="T50" s="61">
        <f>Input!U3</f>
        <v>0</v>
      </c>
    </row>
    <row r="51" spans="1:21" hidden="1" x14ac:dyDescent="0.3">
      <c r="A51" s="112" t="s">
        <v>49</v>
      </c>
      <c r="B51" s="70" t="str">
        <f t="shared" si="4"/>
        <v>Adda</v>
      </c>
      <c r="C51" s="71">
        <f>C50</f>
        <v>46117.458333333343</v>
      </c>
      <c r="D51" s="71">
        <f>D50</f>
        <v>46117.463194444455</v>
      </c>
      <c r="E51" s="70" t="s">
        <v>424</v>
      </c>
      <c r="F51" s="70">
        <v>2</v>
      </c>
      <c r="G51" s="70"/>
      <c r="H51" s="70" t="str">
        <f>IF(OR(S51="",T51=""),"",IFERROR(_xludf.XLOOKUP(S51,'Registrations'!#REF!,'Registrations'!#REF!,_xludf.XLOOKUP(S51,'Registrations'!$B$4:$B$211,'Registrations'!$E$4:$E$211,S51)),S51) &amp; " vs " &amp; IFERROR(_xludf.XLOOKUP(T51,'Registrations'!#REF!,'Registrations'!#REF!,_xludf.XLOOKUP(T51,'Registrations'!$B$4:$B$211,'Registrations'!$E$4:$E$211,T51)),T51))</f>
        <v/>
      </c>
      <c r="I51" s="70"/>
      <c r="J51" s="70"/>
      <c r="K51" s="70">
        <f>Schedules[[#This Row],[Player 1]]</f>
        <v>0</v>
      </c>
      <c r="L51" s="70"/>
      <c r="M51" s="70"/>
      <c r="N51" s="70"/>
      <c r="O51" s="70"/>
      <c r="P51" s="70">
        <f>Schedules[[#This Row],[Player 2]]</f>
        <v>0</v>
      </c>
      <c r="Q51" s="70"/>
      <c r="R51" s="70"/>
      <c r="T51" s="61"/>
    </row>
    <row r="52" spans="1:21" hidden="1" x14ac:dyDescent="0.3">
      <c r="A52" s="109" t="s">
        <v>112</v>
      </c>
      <c r="B52" s="78" t="str">
        <f t="shared" si="4"/>
        <v>Adda</v>
      </c>
      <c r="C52" s="79">
        <f>D51+TIME(0,3,0)</f>
        <v>46117.465277777788</v>
      </c>
      <c r="D52" s="79">
        <f>C52+TIME(0,10,0)</f>
        <v>46117.472222222234</v>
      </c>
      <c r="E52" s="78" t="s">
        <v>433</v>
      </c>
      <c r="F52" s="78">
        <f t="shared" ref="F52:F76" si="11">F50</f>
        <v>1</v>
      </c>
      <c r="G52" s="78">
        <v>1</v>
      </c>
      <c r="H52" s="78" t="str">
        <f ca="1">IF(OR(S52="",T52=""),"",IFERROR(_xludf.XLOOKUP(S52,'Registrations'!#REF!,'Registrations'!#REF!,_xludf.XLOOKUP(S52,'Registrations'!$B$4:$B$211,'Registrations'!$E$4:$E$211,S52)),S52) &amp; " vs " &amp; IFERROR(_xludf.XLOOKUP(T52,'Registrations'!#REF!,'Registrations'!#REF!,_xludf.XLOOKUP(T52,'Registrations'!$B$4:$B$211,'Registrations'!$E$4:$E$211,T52)),T52))</f>
        <v>0 vs 0</v>
      </c>
      <c r="I52" s="78" t="str">
        <f t="shared" ca="1" si="0"/>
        <v>0</v>
      </c>
      <c r="J52" s="78" t="str">
        <f t="shared" ref="J52" ca="1" si="12">_xlfn.TEXTAFTER(H52," vs ")</f>
        <v>0</v>
      </c>
      <c r="K52" s="78" t="str">
        <f ca="1">IF(Schedules[[#This Row],[Player 2]]="",Schedules[[#This Row],[Player 1]],Schedules[[#This Row],[Player 1]]&amp;" / "&amp;Schedules[[#This Row],[Player 2]])</f>
        <v>0 / 0</v>
      </c>
      <c r="L52" s="78">
        <v>15</v>
      </c>
      <c r="M52" s="78" t="str">
        <f t="shared" si="2"/>
        <v>WIN</v>
      </c>
      <c r="N52" s="78"/>
      <c r="O52" s="78"/>
      <c r="P52" s="78">
        <f>IF(Schedules[[#This Row],[Player 4]]="",Schedules[[#This Row],[Player 3]],Schedules[[#This Row],[Player 3]]&amp;" / "&amp;Schedules[[#This Row],[Player 4]])</f>
        <v>0</v>
      </c>
      <c r="Q52" s="78">
        <v>10</v>
      </c>
      <c r="R52" s="78" t="str">
        <f t="shared" si="3"/>
        <v>LOST</v>
      </c>
      <c r="S52" s="61">
        <f>Input!B14</f>
        <v>0</v>
      </c>
      <c r="T52" s="61">
        <f>Input!C14</f>
        <v>0</v>
      </c>
      <c r="U52" s="106"/>
    </row>
    <row r="53" spans="1:21" hidden="1" x14ac:dyDescent="0.3">
      <c r="A53" s="109" t="s">
        <v>112</v>
      </c>
      <c r="B53" s="78" t="str">
        <f t="shared" si="4"/>
        <v>Adda</v>
      </c>
      <c r="C53" s="79">
        <f>C52</f>
        <v>46117.465277777788</v>
      </c>
      <c r="D53" s="79">
        <f>D52</f>
        <v>46117.472222222234</v>
      </c>
      <c r="E53" s="78" t="s">
        <v>423</v>
      </c>
      <c r="F53" s="78">
        <f t="shared" si="11"/>
        <v>2</v>
      </c>
      <c r="G53" s="78">
        <v>3</v>
      </c>
      <c r="H53" s="78" t="str">
        <f ca="1">IF(OR(S53="",T53=""),"",IFERROR(_xludf.XLOOKUP(S53,'Registrations'!#REF!,'Registrations'!#REF!,_xludf.XLOOKUP(S53,'Registrations'!$B$4:$B$211,'Registrations'!$E$4:$E$211,S53)),S53) &amp; " vs " &amp; IFERROR(_xludf.XLOOKUP(T53,'Registrations'!#REF!,'Registrations'!#REF!,_xludf.XLOOKUP(T53,'Registrations'!$B$4:$B$211,'Registrations'!$E$4:$E$211,T53)),T53))</f>
        <v>0 vs 0</v>
      </c>
      <c r="I53" s="78" t="str">
        <f t="shared" ca="1" si="0"/>
        <v>0</v>
      </c>
      <c r="J53" s="78" t="str">
        <f t="shared" ref="J53:J116" ca="1" si="13">_xlfn.TEXTAFTER(H53," vs ")</f>
        <v>0</v>
      </c>
      <c r="K53" s="78" t="str">
        <f ca="1">IF(Schedules[[#This Row],[Player 2]]="",Schedules[[#This Row],[Player 1]],Schedules[[#This Row],[Player 1]]&amp;" / "&amp;Schedules[[#This Row],[Player 2]])</f>
        <v>0 / 0</v>
      </c>
      <c r="L53" s="78">
        <v>15</v>
      </c>
      <c r="M53" s="78" t="str">
        <f t="shared" si="2"/>
        <v>WIN</v>
      </c>
      <c r="N53" s="78"/>
      <c r="O53" s="78"/>
      <c r="P53" s="78">
        <f>IF(Schedules[[#This Row],[Player 4]]="",Schedules[[#This Row],[Player 3]],Schedules[[#This Row],[Player 3]]&amp;" / "&amp;Schedules[[#This Row],[Player 4]])</f>
        <v>0</v>
      </c>
      <c r="Q53" s="78">
        <v>10</v>
      </c>
      <c r="R53" s="78" t="str">
        <f t="shared" si="3"/>
        <v>LOST</v>
      </c>
      <c r="S53" s="61">
        <f>Input!B16</f>
        <v>0</v>
      </c>
      <c r="T53" s="61">
        <f>Input!C16</f>
        <v>0</v>
      </c>
    </row>
    <row r="54" spans="1:21" hidden="1" x14ac:dyDescent="0.3">
      <c r="A54" s="109" t="s">
        <v>112</v>
      </c>
      <c r="B54" s="78" t="str">
        <f t="shared" si="4"/>
        <v>Adda</v>
      </c>
      <c r="C54" s="79">
        <f>D53+TIME(0,3,0)</f>
        <v>46117.474305555566</v>
      </c>
      <c r="D54" s="79">
        <f>C54+TIME(0,10,0)</f>
        <v>46117.481250000012</v>
      </c>
      <c r="E54" s="78" t="s">
        <v>433</v>
      </c>
      <c r="F54" s="78">
        <f t="shared" si="11"/>
        <v>1</v>
      </c>
      <c r="G54" s="78">
        <f t="shared" ref="G54:G63" si="14">G52</f>
        <v>1</v>
      </c>
      <c r="H54" s="78" t="str">
        <f ca="1">IF(OR(S54="",T54=""),"",IFERROR(_xludf.XLOOKUP(S54,'Registrations'!#REF!,'Registrations'!#REF!,_xludf.XLOOKUP(S54,'Registrations'!$B$4:$B$211,'Registrations'!$E$4:$E$211,S54)),S54) &amp; " vs " &amp; IFERROR(_xludf.XLOOKUP(T54,'Registrations'!#REF!,'Registrations'!#REF!,_xludf.XLOOKUP(T54,'Registrations'!$B$4:$B$211,'Registrations'!$E$4:$E$211,T54)),T54))</f>
        <v>0 vs 0</v>
      </c>
      <c r="I54" s="78" t="str">
        <f t="shared" ca="1" si="0"/>
        <v>0</v>
      </c>
      <c r="J54" s="78" t="str">
        <f t="shared" ca="1" si="13"/>
        <v>0</v>
      </c>
      <c r="K54" s="78" t="str">
        <f ca="1">IF(Schedules[[#This Row],[Player 2]]="",Schedules[[#This Row],[Player 1]],Schedules[[#This Row],[Player 1]]&amp;" / "&amp;Schedules[[#This Row],[Player 2]])</f>
        <v>0 / 0</v>
      </c>
      <c r="L54" s="78">
        <v>15</v>
      </c>
      <c r="M54" s="78" t="str">
        <f t="shared" si="2"/>
        <v>WIN</v>
      </c>
      <c r="N54" s="78"/>
      <c r="O54" s="78"/>
      <c r="P54" s="78">
        <f>IF(Schedules[[#This Row],[Player 4]]="",Schedules[[#This Row],[Player 3]],Schedules[[#This Row],[Player 3]]&amp;" / "&amp;Schedules[[#This Row],[Player 4]])</f>
        <v>0</v>
      </c>
      <c r="Q54" s="78">
        <v>10</v>
      </c>
      <c r="R54" s="78" t="str">
        <f t="shared" si="3"/>
        <v>LOST</v>
      </c>
      <c r="S54" s="61">
        <f>Input!D14</f>
        <v>0</v>
      </c>
      <c r="T54" s="61">
        <f>Input!E14</f>
        <v>0</v>
      </c>
    </row>
    <row r="55" spans="1:21" hidden="1" x14ac:dyDescent="0.3">
      <c r="A55" s="109" t="s">
        <v>112</v>
      </c>
      <c r="B55" s="78" t="str">
        <f t="shared" si="4"/>
        <v>Adda</v>
      </c>
      <c r="C55" s="79">
        <f>C54</f>
        <v>46117.474305555566</v>
      </c>
      <c r="D55" s="79">
        <f>D54</f>
        <v>46117.481250000012</v>
      </c>
      <c r="E55" s="78" t="str">
        <f>E54</f>
        <v>Group</v>
      </c>
      <c r="F55" s="78">
        <f t="shared" si="11"/>
        <v>2</v>
      </c>
      <c r="G55" s="78">
        <f t="shared" si="14"/>
        <v>3</v>
      </c>
      <c r="H55" s="78" t="str">
        <f ca="1">IF(OR(S55="",T55=""),"",IFERROR(_xludf.XLOOKUP(S55,'Registrations'!#REF!,'Registrations'!#REF!,_xludf.XLOOKUP(S55,'Registrations'!$B$4:$B$211,'Registrations'!$E$4:$E$211,S55)),S55) &amp; " vs " &amp; IFERROR(_xludf.XLOOKUP(T55,'Registrations'!#REF!,'Registrations'!#REF!,_xludf.XLOOKUP(T55,'Registrations'!$B$4:$B$211,'Registrations'!$E$4:$E$211,T55)),T55))</f>
        <v>0 vs 0</v>
      </c>
      <c r="I55" s="78" t="str">
        <f t="shared" ca="1" si="0"/>
        <v>0</v>
      </c>
      <c r="J55" s="78" t="str">
        <f t="shared" ca="1" si="13"/>
        <v>0</v>
      </c>
      <c r="K55" s="78" t="str">
        <f ca="1">IF(Schedules[[#This Row],[Player 2]]="",Schedules[[#This Row],[Player 1]],Schedules[[#This Row],[Player 1]]&amp;" / "&amp;Schedules[[#This Row],[Player 2]])</f>
        <v>0 / 0</v>
      </c>
      <c r="L55" s="78">
        <v>15</v>
      </c>
      <c r="M55" s="78" t="str">
        <f t="shared" si="2"/>
        <v>WIN</v>
      </c>
      <c r="N55" s="78"/>
      <c r="O55" s="78"/>
      <c r="P55" s="78">
        <f>IF(Schedules[[#This Row],[Player 4]]="",Schedules[[#This Row],[Player 3]],Schedules[[#This Row],[Player 3]]&amp;" / "&amp;Schedules[[#This Row],[Player 4]])</f>
        <v>0</v>
      </c>
      <c r="Q55" s="78">
        <v>10</v>
      </c>
      <c r="R55" s="78" t="str">
        <f t="shared" si="3"/>
        <v>LOST</v>
      </c>
      <c r="S55" s="61">
        <f>Input!D16</f>
        <v>0</v>
      </c>
      <c r="T55" s="61">
        <f>Input!E16</f>
        <v>0</v>
      </c>
    </row>
    <row r="56" spans="1:21" hidden="1" x14ac:dyDescent="0.3">
      <c r="A56" s="109" t="s">
        <v>112</v>
      </c>
      <c r="B56" s="78" t="str">
        <f t="shared" si="4"/>
        <v>Adda</v>
      </c>
      <c r="C56" s="79">
        <f>D55+TIME(0,3,0)</f>
        <v>46117.483333333344</v>
      </c>
      <c r="D56" s="79">
        <f>C56+TIME(0,10,0)</f>
        <v>46117.49027777779</v>
      </c>
      <c r="E56" s="78" t="str">
        <f t="shared" ref="E56:E63" si="15">E55</f>
        <v>Group</v>
      </c>
      <c r="F56" s="78">
        <f t="shared" si="11"/>
        <v>1</v>
      </c>
      <c r="G56" s="78">
        <f t="shared" si="14"/>
        <v>1</v>
      </c>
      <c r="H56" s="78" t="str">
        <f ca="1">IF(OR(S56="",T56=""),"",IFERROR(_xludf.XLOOKUP(S56,'Registrations'!#REF!,'Registrations'!#REF!,_xludf.XLOOKUP(S56,'Registrations'!$B$4:$B$211,'Registrations'!$E$4:$E$211,S56)),S56) &amp; " vs " &amp; IFERROR(_xludf.XLOOKUP(T56,'Registrations'!#REF!,'Registrations'!#REF!,_xludf.XLOOKUP(T56,'Registrations'!$B$4:$B$211,'Registrations'!$E$4:$E$211,T56)),T56))</f>
        <v>0 vs 0</v>
      </c>
      <c r="I56" s="78" t="str">
        <f t="shared" ca="1" si="0"/>
        <v>0</v>
      </c>
      <c r="J56" s="78" t="str">
        <f t="shared" ca="1" si="13"/>
        <v>0</v>
      </c>
      <c r="K56" s="78" t="str">
        <f ca="1">IF(Schedules[[#This Row],[Player 2]]="",Schedules[[#This Row],[Player 1]],Schedules[[#This Row],[Player 1]]&amp;" / "&amp;Schedules[[#This Row],[Player 2]])</f>
        <v>0 / 0</v>
      </c>
      <c r="L56" s="78">
        <v>15</v>
      </c>
      <c r="M56" s="78" t="str">
        <f t="shared" si="2"/>
        <v>WIN</v>
      </c>
      <c r="N56" s="78"/>
      <c r="O56" s="78"/>
      <c r="P56" s="78">
        <f>IF(Schedules[[#This Row],[Player 4]]="",Schedules[[#This Row],[Player 3]],Schedules[[#This Row],[Player 3]]&amp;" / "&amp;Schedules[[#This Row],[Player 4]])</f>
        <v>0</v>
      </c>
      <c r="Q56" s="78">
        <v>10</v>
      </c>
      <c r="R56" s="78" t="str">
        <f t="shared" si="3"/>
        <v>LOST</v>
      </c>
      <c r="S56" s="61">
        <f>Input!B14</f>
        <v>0</v>
      </c>
      <c r="T56" s="61">
        <f>Input!D14</f>
        <v>0</v>
      </c>
    </row>
    <row r="57" spans="1:21" hidden="1" x14ac:dyDescent="0.3">
      <c r="A57" s="109" t="s">
        <v>112</v>
      </c>
      <c r="B57" s="78" t="str">
        <f t="shared" si="4"/>
        <v>Adda</v>
      </c>
      <c r="C57" s="79">
        <f>C56</f>
        <v>46117.483333333344</v>
      </c>
      <c r="D57" s="79">
        <f>D56</f>
        <v>46117.49027777779</v>
      </c>
      <c r="E57" s="78" t="str">
        <f t="shared" si="15"/>
        <v>Group</v>
      </c>
      <c r="F57" s="78">
        <f t="shared" si="11"/>
        <v>2</v>
      </c>
      <c r="G57" s="78">
        <f t="shared" si="14"/>
        <v>3</v>
      </c>
      <c r="H57" s="78" t="str">
        <f ca="1">IF(OR(S57="",T57=""),"",IFERROR(_xludf.XLOOKUP(S57,'Registrations'!#REF!,'Registrations'!#REF!,_xludf.XLOOKUP(S57,'Registrations'!$B$4:$B$211,'Registrations'!$E$4:$E$211,S57)),S57) &amp; " vs " &amp; IFERROR(_xludf.XLOOKUP(T57,'Registrations'!#REF!,'Registrations'!#REF!,_xludf.XLOOKUP(T57,'Registrations'!$B$4:$B$211,'Registrations'!$E$4:$E$211,T57)),T57))</f>
        <v>0 vs 0</v>
      </c>
      <c r="I57" s="78" t="str">
        <f t="shared" ca="1" si="0"/>
        <v>0</v>
      </c>
      <c r="J57" s="78" t="str">
        <f t="shared" ca="1" si="13"/>
        <v>0</v>
      </c>
      <c r="K57" s="78" t="str">
        <f ca="1">IF(Schedules[[#This Row],[Player 2]]="",Schedules[[#This Row],[Player 1]],Schedules[[#This Row],[Player 1]]&amp;" / "&amp;Schedules[[#This Row],[Player 2]])</f>
        <v>0 / 0</v>
      </c>
      <c r="L57" s="78">
        <v>15</v>
      </c>
      <c r="M57" s="78" t="str">
        <f t="shared" si="2"/>
        <v>WIN</v>
      </c>
      <c r="N57" s="78"/>
      <c r="O57" s="78"/>
      <c r="P57" s="78">
        <f>IF(Schedules[[#This Row],[Player 4]]="",Schedules[[#This Row],[Player 3]],Schedules[[#This Row],[Player 3]]&amp;" / "&amp;Schedules[[#This Row],[Player 4]])</f>
        <v>0</v>
      </c>
      <c r="Q57" s="78">
        <v>10</v>
      </c>
      <c r="R57" s="78" t="str">
        <f t="shared" si="3"/>
        <v>LOST</v>
      </c>
      <c r="S57" s="61">
        <f>Input!B16</f>
        <v>0</v>
      </c>
      <c r="T57" s="61">
        <f>Input!D16</f>
        <v>0</v>
      </c>
    </row>
    <row r="58" spans="1:21" hidden="1" x14ac:dyDescent="0.3">
      <c r="A58" s="109" t="s">
        <v>112</v>
      </c>
      <c r="B58" s="78" t="str">
        <f t="shared" si="4"/>
        <v>Adda</v>
      </c>
      <c r="C58" s="79">
        <f>D57+TIME(0,3,0)</f>
        <v>46117.492361111123</v>
      </c>
      <c r="D58" s="79">
        <f>C58+TIME(0,10,0)</f>
        <v>46117.499305555568</v>
      </c>
      <c r="E58" s="78" t="str">
        <f t="shared" si="15"/>
        <v>Group</v>
      </c>
      <c r="F58" s="78">
        <f t="shared" si="11"/>
        <v>1</v>
      </c>
      <c r="G58" s="78">
        <f t="shared" si="14"/>
        <v>1</v>
      </c>
      <c r="H58" s="78" t="str">
        <f ca="1">IF(OR(S58="",T58=""),"",IFERROR(_xludf.XLOOKUP(S58,'Registrations'!#REF!,'Registrations'!#REF!,_xludf.XLOOKUP(S58,'Registrations'!$B$4:$B$211,'Registrations'!$E$4:$E$211,S58)),S58) &amp; " vs " &amp; IFERROR(_xludf.XLOOKUP(T58,'Registrations'!#REF!,'Registrations'!#REF!,_xludf.XLOOKUP(T58,'Registrations'!$B$4:$B$211,'Registrations'!$E$4:$E$211,T58)),T58))</f>
        <v>0 vs 0</v>
      </c>
      <c r="I58" s="78" t="str">
        <f t="shared" ca="1" si="0"/>
        <v>0</v>
      </c>
      <c r="J58" s="78" t="str">
        <f t="shared" ca="1" si="13"/>
        <v>0</v>
      </c>
      <c r="K58" s="78" t="str">
        <f ca="1">IF(Schedules[[#This Row],[Player 2]]="",Schedules[[#This Row],[Player 1]],Schedules[[#This Row],[Player 1]]&amp;" / "&amp;Schedules[[#This Row],[Player 2]])</f>
        <v>0 / 0</v>
      </c>
      <c r="L58" s="78">
        <v>15</v>
      </c>
      <c r="M58" s="78" t="str">
        <f t="shared" si="2"/>
        <v>WIN</v>
      </c>
      <c r="N58" s="78"/>
      <c r="O58" s="78"/>
      <c r="P58" s="78">
        <f>IF(Schedules[[#This Row],[Player 4]]="",Schedules[[#This Row],[Player 3]],Schedules[[#This Row],[Player 3]]&amp;" / "&amp;Schedules[[#This Row],[Player 4]])</f>
        <v>0</v>
      </c>
      <c r="Q58" s="78">
        <v>10</v>
      </c>
      <c r="R58" s="78" t="str">
        <f t="shared" si="3"/>
        <v>LOST</v>
      </c>
      <c r="S58" s="61">
        <f>Input!C14</f>
        <v>0</v>
      </c>
      <c r="T58" s="61">
        <f>Input!E14</f>
        <v>0</v>
      </c>
    </row>
    <row r="59" spans="1:21" hidden="1" x14ac:dyDescent="0.3">
      <c r="A59" s="109" t="s">
        <v>112</v>
      </c>
      <c r="B59" s="78" t="str">
        <f t="shared" si="4"/>
        <v>Adda</v>
      </c>
      <c r="C59" s="79">
        <f>C58</f>
        <v>46117.492361111123</v>
      </c>
      <c r="D59" s="79">
        <f>D58</f>
        <v>46117.499305555568</v>
      </c>
      <c r="E59" s="78" t="str">
        <f t="shared" si="15"/>
        <v>Group</v>
      </c>
      <c r="F59" s="78">
        <f t="shared" si="11"/>
        <v>2</v>
      </c>
      <c r="G59" s="78">
        <f t="shared" si="14"/>
        <v>3</v>
      </c>
      <c r="H59" s="78" t="str">
        <f ca="1">IF(OR(S59="",T59=""),"",IFERROR(_xludf.XLOOKUP(S59,'Registrations'!#REF!,'Registrations'!#REF!,_xludf.XLOOKUP(S59,'Registrations'!$B$4:$B$211,'Registrations'!$E$4:$E$211,S59)),S59) &amp; " vs " &amp; IFERROR(_xludf.XLOOKUP(T59,'Registrations'!#REF!,'Registrations'!#REF!,_xludf.XLOOKUP(T59,'Registrations'!$B$4:$B$211,'Registrations'!$E$4:$E$211,T59)),T59))</f>
        <v>0 vs 0</v>
      </c>
      <c r="I59" s="78" t="str">
        <f t="shared" ca="1" si="0"/>
        <v>0</v>
      </c>
      <c r="J59" s="78" t="str">
        <f t="shared" ca="1" si="13"/>
        <v>0</v>
      </c>
      <c r="K59" s="78" t="str">
        <f ca="1">IF(Schedules[[#This Row],[Player 2]]="",Schedules[[#This Row],[Player 1]],Schedules[[#This Row],[Player 1]]&amp;" / "&amp;Schedules[[#This Row],[Player 2]])</f>
        <v>0 / 0</v>
      </c>
      <c r="L59" s="78">
        <v>15</v>
      </c>
      <c r="M59" s="78" t="str">
        <f t="shared" si="2"/>
        <v>WIN</v>
      </c>
      <c r="N59" s="78"/>
      <c r="O59" s="78"/>
      <c r="P59" s="78">
        <f>IF(Schedules[[#This Row],[Player 4]]="",Schedules[[#This Row],[Player 3]],Schedules[[#This Row],[Player 3]]&amp;" / "&amp;Schedules[[#This Row],[Player 4]])</f>
        <v>0</v>
      </c>
      <c r="Q59" s="78">
        <v>10</v>
      </c>
      <c r="R59" s="78" t="str">
        <f t="shared" si="3"/>
        <v>LOST</v>
      </c>
      <c r="S59" s="61">
        <f>Input!C16</f>
        <v>0</v>
      </c>
      <c r="T59" s="61">
        <f>Input!E16</f>
        <v>0</v>
      </c>
    </row>
    <row r="60" spans="1:21" hidden="1" x14ac:dyDescent="0.3">
      <c r="A60" s="109" t="s">
        <v>112</v>
      </c>
      <c r="B60" s="78" t="str">
        <f t="shared" si="4"/>
        <v>Adda</v>
      </c>
      <c r="C60" s="79">
        <f>D59+TIME(0,3,0)</f>
        <v>46117.501388888901</v>
      </c>
      <c r="D60" s="79">
        <f>C60+TIME(0,10,0)</f>
        <v>46117.508333333346</v>
      </c>
      <c r="E60" s="78" t="str">
        <f t="shared" si="15"/>
        <v>Group</v>
      </c>
      <c r="F60" s="78">
        <f t="shared" si="11"/>
        <v>1</v>
      </c>
      <c r="G60" s="78">
        <f t="shared" si="14"/>
        <v>1</v>
      </c>
      <c r="H60" s="78" t="str">
        <f ca="1">IF(OR(S60="",T60=""),"",IFERROR(_xludf.XLOOKUP(S60,'Registrations'!#REF!,'Registrations'!#REF!,_xludf.XLOOKUP(S60,'Registrations'!$B$4:$B$211,'Registrations'!$E$4:$E$211,S60)),S60) &amp; " vs " &amp; IFERROR(_xludf.XLOOKUP(T60,'Registrations'!#REF!,'Registrations'!#REF!,_xludf.XLOOKUP(T60,'Registrations'!$B$4:$B$211,'Registrations'!$E$4:$E$211,T60)),T60))</f>
        <v>0 vs 0</v>
      </c>
      <c r="I60" s="78" t="str">
        <f t="shared" ca="1" si="0"/>
        <v>0</v>
      </c>
      <c r="J60" s="78" t="str">
        <f t="shared" ca="1" si="13"/>
        <v>0</v>
      </c>
      <c r="K60" s="78" t="str">
        <f ca="1">IF(Schedules[[#This Row],[Player 2]]="",Schedules[[#This Row],[Player 1]],Schedules[[#This Row],[Player 1]]&amp;" / "&amp;Schedules[[#This Row],[Player 2]])</f>
        <v>0 / 0</v>
      </c>
      <c r="L60" s="78">
        <v>15</v>
      </c>
      <c r="M60" s="78" t="str">
        <f t="shared" si="2"/>
        <v>WIN</v>
      </c>
      <c r="N60" s="78"/>
      <c r="O60" s="78"/>
      <c r="P60" s="78">
        <f>IF(Schedules[[#This Row],[Player 4]]="",Schedules[[#This Row],[Player 3]],Schedules[[#This Row],[Player 3]]&amp;" / "&amp;Schedules[[#This Row],[Player 4]])</f>
        <v>0</v>
      </c>
      <c r="Q60" s="78">
        <v>10</v>
      </c>
      <c r="R60" s="78" t="str">
        <f t="shared" si="3"/>
        <v>LOST</v>
      </c>
      <c r="S60" s="61">
        <f>Input!B14</f>
        <v>0</v>
      </c>
      <c r="T60" s="61">
        <f>Input!E14</f>
        <v>0</v>
      </c>
    </row>
    <row r="61" spans="1:21" hidden="1" x14ac:dyDescent="0.3">
      <c r="A61" s="109" t="s">
        <v>112</v>
      </c>
      <c r="B61" s="78" t="str">
        <f t="shared" si="4"/>
        <v>Adda</v>
      </c>
      <c r="C61" s="79">
        <f>C60</f>
        <v>46117.501388888901</v>
      </c>
      <c r="D61" s="79">
        <f>D60</f>
        <v>46117.508333333346</v>
      </c>
      <c r="E61" s="78" t="str">
        <f t="shared" si="15"/>
        <v>Group</v>
      </c>
      <c r="F61" s="78">
        <f t="shared" si="11"/>
        <v>2</v>
      </c>
      <c r="G61" s="78">
        <f t="shared" si="14"/>
        <v>3</v>
      </c>
      <c r="H61" s="78" t="str">
        <f ca="1">IF(OR(S61="",T61=""),"",IFERROR(_xludf.XLOOKUP(S61,'Registrations'!#REF!,'Registrations'!#REF!,_xludf.XLOOKUP(S61,'Registrations'!$B$4:$B$211,'Registrations'!$E$4:$E$211,S61)),S61) &amp; " vs " &amp; IFERROR(_xludf.XLOOKUP(T61,'Registrations'!#REF!,'Registrations'!#REF!,_xludf.XLOOKUP(T61,'Registrations'!$B$4:$B$211,'Registrations'!$E$4:$E$211,T61)),T61))</f>
        <v>0 vs 0</v>
      </c>
      <c r="I61" s="78" t="str">
        <f t="shared" ca="1" si="0"/>
        <v>0</v>
      </c>
      <c r="J61" s="78" t="str">
        <f t="shared" ca="1" si="13"/>
        <v>0</v>
      </c>
      <c r="K61" s="78" t="str">
        <f ca="1">IF(Schedules[[#This Row],[Player 2]]="",Schedules[[#This Row],[Player 1]],Schedules[[#This Row],[Player 1]]&amp;" / "&amp;Schedules[[#This Row],[Player 2]])</f>
        <v>0 / 0</v>
      </c>
      <c r="L61" s="78">
        <v>15</v>
      </c>
      <c r="M61" s="78" t="str">
        <f t="shared" si="2"/>
        <v>WIN</v>
      </c>
      <c r="N61" s="78"/>
      <c r="O61" s="78"/>
      <c r="P61" s="78">
        <f>IF(Schedules[[#This Row],[Player 4]]="",Schedules[[#This Row],[Player 3]],Schedules[[#This Row],[Player 3]]&amp;" / "&amp;Schedules[[#This Row],[Player 4]])</f>
        <v>0</v>
      </c>
      <c r="Q61" s="78">
        <v>10</v>
      </c>
      <c r="R61" s="78" t="str">
        <f t="shared" si="3"/>
        <v>LOST</v>
      </c>
      <c r="S61" s="61">
        <f>Input!B16</f>
        <v>0</v>
      </c>
      <c r="T61" s="61">
        <f>Input!E16</f>
        <v>0</v>
      </c>
    </row>
    <row r="62" spans="1:21" hidden="1" x14ac:dyDescent="0.3">
      <c r="A62" s="109" t="s">
        <v>112</v>
      </c>
      <c r="B62" s="78" t="str">
        <f t="shared" si="4"/>
        <v>Adda</v>
      </c>
      <c r="C62" s="79">
        <f>D61+TIME(0,3,0)</f>
        <v>46117.510416666679</v>
      </c>
      <c r="D62" s="79">
        <f>C62+TIME(0,10,0)</f>
        <v>46117.517361111124</v>
      </c>
      <c r="E62" s="78" t="str">
        <f t="shared" si="15"/>
        <v>Group</v>
      </c>
      <c r="F62" s="78">
        <f t="shared" si="11"/>
        <v>1</v>
      </c>
      <c r="G62" s="78">
        <f t="shared" si="14"/>
        <v>1</v>
      </c>
      <c r="H62" s="78" t="str">
        <f ca="1">IF(OR(S62="",T62=""),"",IFERROR(_xludf.XLOOKUP(S62,'Registrations'!#REF!,'Registrations'!#REF!,_xludf.XLOOKUP(S62,'Registrations'!$B$4:$B$211,'Registrations'!$E$4:$E$211,S62)),S62) &amp; " vs " &amp; IFERROR(_xludf.XLOOKUP(T62,'Registrations'!#REF!,'Registrations'!#REF!,_xludf.XLOOKUP(T62,'Registrations'!$B$4:$B$211,'Registrations'!$E$4:$E$211,T62)),T62))</f>
        <v>0 vs 0</v>
      </c>
      <c r="I62" s="78" t="str">
        <f t="shared" ca="1" si="0"/>
        <v>0</v>
      </c>
      <c r="J62" s="78" t="str">
        <f t="shared" ca="1" si="13"/>
        <v>0</v>
      </c>
      <c r="K62" s="78" t="str">
        <f ca="1">IF(Schedules[[#This Row],[Player 2]]="",Schedules[[#This Row],[Player 1]],Schedules[[#This Row],[Player 1]]&amp;" / "&amp;Schedules[[#This Row],[Player 2]])</f>
        <v>0 / 0</v>
      </c>
      <c r="L62" s="78">
        <v>15</v>
      </c>
      <c r="M62" s="78" t="str">
        <f t="shared" si="2"/>
        <v>WIN</v>
      </c>
      <c r="N62" s="78"/>
      <c r="O62" s="78"/>
      <c r="P62" s="78">
        <f>IF(Schedules[[#This Row],[Player 4]]="",Schedules[[#This Row],[Player 3]],Schedules[[#This Row],[Player 3]]&amp;" / "&amp;Schedules[[#This Row],[Player 4]])</f>
        <v>0</v>
      </c>
      <c r="Q62" s="78">
        <v>10</v>
      </c>
      <c r="R62" s="78" t="str">
        <f t="shared" si="3"/>
        <v>LOST</v>
      </c>
      <c r="S62" s="61">
        <f>Input!C14</f>
        <v>0</v>
      </c>
      <c r="T62" s="61">
        <f>Input!D14</f>
        <v>0</v>
      </c>
    </row>
    <row r="63" spans="1:21" hidden="1" x14ac:dyDescent="0.3">
      <c r="A63" s="109" t="s">
        <v>112</v>
      </c>
      <c r="B63" s="78" t="str">
        <f t="shared" si="4"/>
        <v>Adda</v>
      </c>
      <c r="C63" s="79">
        <f>C62</f>
        <v>46117.510416666679</v>
      </c>
      <c r="D63" s="79">
        <f>D62</f>
        <v>46117.517361111124</v>
      </c>
      <c r="E63" s="78" t="str">
        <f t="shared" si="15"/>
        <v>Group</v>
      </c>
      <c r="F63" s="78">
        <f t="shared" si="11"/>
        <v>2</v>
      </c>
      <c r="G63" s="78">
        <f t="shared" si="14"/>
        <v>3</v>
      </c>
      <c r="H63" s="78" t="str">
        <f ca="1">IF(OR(S63="",T63=""),"",IFERROR(_xludf.XLOOKUP(S63,'Registrations'!#REF!,'Registrations'!#REF!,_xludf.XLOOKUP(S63,'Registrations'!$B$4:$B$211,'Registrations'!$E$4:$E$211,S63)),S63) &amp; " vs " &amp; IFERROR(_xludf.XLOOKUP(T63,'Registrations'!#REF!,'Registrations'!#REF!,_xludf.XLOOKUP(T63,'Registrations'!$B$4:$B$211,'Registrations'!$E$4:$E$211,T63)),T63))</f>
        <v>0 vs 0</v>
      </c>
      <c r="I63" s="78" t="str">
        <f t="shared" ca="1" si="0"/>
        <v>0</v>
      </c>
      <c r="J63" s="78" t="str">
        <f t="shared" ca="1" si="13"/>
        <v>0</v>
      </c>
      <c r="K63" s="78" t="str">
        <f ca="1">IF(Schedules[[#This Row],[Player 2]]="",Schedules[[#This Row],[Player 1]],Schedules[[#This Row],[Player 1]]&amp;" / "&amp;Schedules[[#This Row],[Player 2]])</f>
        <v>0 / 0</v>
      </c>
      <c r="L63" s="78">
        <v>15</v>
      </c>
      <c r="M63" s="78" t="str">
        <f t="shared" si="2"/>
        <v>WIN</v>
      </c>
      <c r="N63" s="78"/>
      <c r="O63" s="78"/>
      <c r="P63" s="78">
        <f>IF(Schedules[[#This Row],[Player 4]]="",Schedules[[#This Row],[Player 3]],Schedules[[#This Row],[Player 3]]&amp;" / "&amp;Schedules[[#This Row],[Player 4]])</f>
        <v>0</v>
      </c>
      <c r="Q63" s="78">
        <v>10</v>
      </c>
      <c r="R63" s="78" t="str">
        <f t="shared" si="3"/>
        <v>LOST</v>
      </c>
      <c r="S63" s="61">
        <f>Input!C16</f>
        <v>0</v>
      </c>
      <c r="T63" s="61">
        <f>Input!D16</f>
        <v>0</v>
      </c>
    </row>
    <row r="64" spans="1:21" hidden="1" x14ac:dyDescent="0.3">
      <c r="A64" s="111" t="s">
        <v>112</v>
      </c>
      <c r="B64" s="74" t="str">
        <f t="shared" si="4"/>
        <v>Adda</v>
      </c>
      <c r="C64" s="75">
        <f>D63+TIME(0,3,0)</f>
        <v>46117.519444444457</v>
      </c>
      <c r="D64" s="75">
        <f>C64+TIME(0,10,0)</f>
        <v>46117.526388888902</v>
      </c>
      <c r="E64" s="74" t="s">
        <v>40</v>
      </c>
      <c r="F64" s="74">
        <f t="shared" si="11"/>
        <v>1</v>
      </c>
      <c r="G64" s="74" t="s">
        <v>443</v>
      </c>
      <c r="H64" s="74" t="str">
        <f ca="1">IF(OR(S64="",T64=""),"",IFERROR(_xludf.XLOOKUP(S64,'Registrations'!#REF!,'Registrations'!#REF!,_xludf.XLOOKUP(S64,'Registrations'!$B$4:$B$211,'Registrations'!$E$4:$E$211,S64)),S64) &amp; " vs " &amp; IFERROR(_xludf.XLOOKUP(T64,'Registrations'!#REF!,'Registrations'!#REF!,_xludf.XLOOKUP(T64,'Registrations'!$B$4:$B$211,'Registrations'!$E$4:$E$211,T64)),T64))</f>
        <v>0 vs 0</v>
      </c>
      <c r="I64" s="74" t="str">
        <f t="shared" ca="1" si="0"/>
        <v>0</v>
      </c>
      <c r="J64" s="74" t="str">
        <f t="shared" ca="1" si="13"/>
        <v>0</v>
      </c>
      <c r="K64" s="74" t="str">
        <f ca="1">IF(Schedules[[#This Row],[Player 2]]="",Schedules[[#This Row],[Player 1]],Schedules[[#This Row],[Player 1]]&amp;" / "&amp;Schedules[[#This Row],[Player 2]])</f>
        <v>0 / 0</v>
      </c>
      <c r="L64" s="74">
        <v>15</v>
      </c>
      <c r="M64" s="74" t="str">
        <f t="shared" si="2"/>
        <v>WIN</v>
      </c>
      <c r="N64" s="74"/>
      <c r="O64" s="74"/>
      <c r="P64" s="74">
        <f>IF(Schedules[[#This Row],[Player 4]]="",Schedules[[#This Row],[Player 3]],Schedules[[#This Row],[Player 3]]&amp;" / "&amp;Schedules[[#This Row],[Player 4]])</f>
        <v>0</v>
      </c>
      <c r="Q64" s="74">
        <v>10</v>
      </c>
      <c r="R64" s="74" t="str">
        <f t="shared" si="3"/>
        <v>LOST</v>
      </c>
      <c r="S64" s="61">
        <f>Input!H14</f>
        <v>0</v>
      </c>
      <c r="T64" s="61">
        <f>Input!I14</f>
        <v>0</v>
      </c>
    </row>
    <row r="65" spans="1:20" hidden="1" x14ac:dyDescent="0.3">
      <c r="A65" s="112" t="s">
        <v>112</v>
      </c>
      <c r="B65" s="70" t="str">
        <f t="shared" si="4"/>
        <v>Adda</v>
      </c>
      <c r="C65" s="71">
        <f>C64</f>
        <v>46117.519444444457</v>
      </c>
      <c r="D65" s="71">
        <f>D64</f>
        <v>46117.526388888902</v>
      </c>
      <c r="E65" s="70" t="s">
        <v>424</v>
      </c>
      <c r="F65" s="70">
        <f t="shared" si="11"/>
        <v>2</v>
      </c>
      <c r="G65" s="70"/>
      <c r="H65" s="70"/>
      <c r="I65" s="70"/>
      <c r="J65" s="70"/>
      <c r="K65" s="70">
        <f>IF(Schedules[[#This Row],[Player 2]]="",Schedules[[#This Row],[Player 1]],Schedules[[#This Row],[Player 1]]&amp;" / "&amp;Schedules[[#This Row],[Player 2]])</f>
        <v>0</v>
      </c>
      <c r="L65" s="70"/>
      <c r="M65" s="70"/>
      <c r="N65" s="70"/>
      <c r="O65" s="70"/>
      <c r="P65" s="70">
        <f>IF(Schedules[[#This Row],[Player 4]]="",Schedules[[#This Row],[Player 3]],Schedules[[#This Row],[Player 3]]&amp;" / "&amp;Schedules[[#This Row],[Player 4]])</f>
        <v>0</v>
      </c>
      <c r="Q65" s="70"/>
      <c r="R65" s="70"/>
      <c r="T65" s="61"/>
    </row>
    <row r="66" spans="1:20" hidden="1" x14ac:dyDescent="0.3">
      <c r="A66" s="109" t="s">
        <v>112</v>
      </c>
      <c r="B66" s="78" t="str">
        <f t="shared" si="4"/>
        <v>Adda</v>
      </c>
      <c r="C66" s="79">
        <f>D65+TIME(0,3,0)</f>
        <v>46117.528472222235</v>
      </c>
      <c r="D66" s="79">
        <f>C66+TIME(0,10,0)</f>
        <v>46117.53541666668</v>
      </c>
      <c r="E66" s="78" t="s">
        <v>433</v>
      </c>
      <c r="F66" s="78">
        <f t="shared" si="11"/>
        <v>1</v>
      </c>
      <c r="G66" s="78">
        <v>2</v>
      </c>
      <c r="H66" s="78" t="str">
        <f ca="1">IF(OR(S66="",T66=""),"",IFERROR(_xludf.XLOOKUP(S66,'Registrations'!#REF!,'Registrations'!#REF!,_xludf.XLOOKUP(S66,'Registrations'!$B$4:$B$211,'Registrations'!$E$4:$E$211,S66)),S66) &amp; " vs " &amp; IFERROR(_xludf.XLOOKUP(T66,'Registrations'!#REF!,'Registrations'!#REF!,_xludf.XLOOKUP(T66,'Registrations'!$B$4:$B$211,'Registrations'!$E$4:$E$211,T66)),T66))</f>
        <v>0 vs 0</v>
      </c>
      <c r="I66" s="78" t="str">
        <f t="shared" ca="1" si="0"/>
        <v>0</v>
      </c>
      <c r="J66" s="78" t="str">
        <f t="shared" ca="1" si="13"/>
        <v>0</v>
      </c>
      <c r="K66" s="78" t="str">
        <f ca="1">IF(Schedules[[#This Row],[Player 2]]="",Schedules[[#This Row],[Player 1]],Schedules[[#This Row],[Player 1]]&amp;" / "&amp;Schedules[[#This Row],[Player 2]])</f>
        <v>0 / 0</v>
      </c>
      <c r="L66" s="78">
        <v>15</v>
      </c>
      <c r="M66" s="78" t="str">
        <f t="shared" si="2"/>
        <v>WIN</v>
      </c>
      <c r="N66" s="78"/>
      <c r="O66" s="78"/>
      <c r="P66" s="78">
        <f>IF(Schedules[[#This Row],[Player 4]]="",Schedules[[#This Row],[Player 3]],Schedules[[#This Row],[Player 3]]&amp;" / "&amp;Schedules[[#This Row],[Player 4]])</f>
        <v>0</v>
      </c>
      <c r="Q66" s="78">
        <v>10</v>
      </c>
      <c r="R66" s="78" t="str">
        <f t="shared" si="3"/>
        <v>LOST</v>
      </c>
      <c r="S66" s="61">
        <f>Input!B15</f>
        <v>0</v>
      </c>
      <c r="T66" s="61">
        <f>Input!C15</f>
        <v>0</v>
      </c>
    </row>
    <row r="67" spans="1:20" hidden="1" x14ac:dyDescent="0.3">
      <c r="A67" s="109" t="s">
        <v>112</v>
      </c>
      <c r="B67" s="78" t="str">
        <f t="shared" si="4"/>
        <v>Adda</v>
      </c>
      <c r="C67" s="79">
        <f>C66</f>
        <v>46117.528472222235</v>
      </c>
      <c r="D67" s="79">
        <f>D66</f>
        <v>46117.53541666668</v>
      </c>
      <c r="E67" s="78" t="str">
        <f>E66</f>
        <v>Group</v>
      </c>
      <c r="F67" s="78">
        <f t="shared" si="11"/>
        <v>2</v>
      </c>
      <c r="G67" s="78">
        <f>G66</f>
        <v>2</v>
      </c>
      <c r="H67" s="78" t="str">
        <f ca="1">IF(OR(S67="",T67=""),"",IFERROR(_xludf.XLOOKUP(S67,'Registrations'!#REF!,'Registrations'!#REF!,_xludf.XLOOKUP(S67,'Registrations'!$B$4:$B$211,'Registrations'!$E$4:$E$211,S67)),S67) &amp; " vs " &amp; IFERROR(_xludf.XLOOKUP(T67,'Registrations'!#REF!,'Registrations'!#REF!,_xludf.XLOOKUP(T67,'Registrations'!$B$4:$B$211,'Registrations'!$E$4:$E$211,T67)),T67))</f>
        <v>0 vs 0</v>
      </c>
      <c r="I67" s="78" t="str">
        <f t="shared" ref="I67:I130" ca="1" si="16">_xlfn.TEXTBEFORE(H67," vs ")</f>
        <v>0</v>
      </c>
      <c r="J67" s="78" t="str">
        <f t="shared" ca="1" si="13"/>
        <v>0</v>
      </c>
      <c r="K67" s="78" t="str">
        <f ca="1">IF(Schedules[[#This Row],[Player 2]]="",Schedules[[#This Row],[Player 1]],Schedules[[#This Row],[Player 1]]&amp;" / "&amp;Schedules[[#This Row],[Player 2]])</f>
        <v>0 / 0</v>
      </c>
      <c r="L67" s="78">
        <v>15</v>
      </c>
      <c r="M67" s="78" t="str">
        <f t="shared" ref="M67:M130" si="17">IF(L67=15,"WIN","LOST")</f>
        <v>WIN</v>
      </c>
      <c r="N67" s="78"/>
      <c r="O67" s="78"/>
      <c r="P67" s="78">
        <f>IF(Schedules[[#This Row],[Player 4]]="",Schedules[[#This Row],[Player 3]],Schedules[[#This Row],[Player 3]]&amp;" / "&amp;Schedules[[#This Row],[Player 4]])</f>
        <v>0</v>
      </c>
      <c r="Q67" s="78">
        <v>10</v>
      </c>
      <c r="R67" s="78" t="str">
        <f t="shared" ref="R67:R130" si="18">IF(Q67=15,"WIN","LOST")</f>
        <v>LOST</v>
      </c>
      <c r="S67" s="61">
        <f>Input!D15</f>
        <v>0</v>
      </c>
      <c r="T67" s="61">
        <f>Input!E15</f>
        <v>0</v>
      </c>
    </row>
    <row r="68" spans="1:20" hidden="1" x14ac:dyDescent="0.3">
      <c r="A68" s="109" t="s">
        <v>112</v>
      </c>
      <c r="B68" s="78" t="str">
        <f t="shared" ref="B68:B131" si="19">B67</f>
        <v>Adda</v>
      </c>
      <c r="C68" s="79">
        <f>D67+TIME(0,3,0)</f>
        <v>46117.537500000013</v>
      </c>
      <c r="D68" s="79">
        <f>C68+TIME(0,10,0)</f>
        <v>46117.544444444458</v>
      </c>
      <c r="E68" s="78" t="str">
        <f>E67</f>
        <v>Group</v>
      </c>
      <c r="F68" s="78">
        <f t="shared" si="11"/>
        <v>1</v>
      </c>
      <c r="G68" s="78">
        <v>3</v>
      </c>
      <c r="H68" s="78" t="str">
        <f ca="1">IF(OR(S68="",T68=""),"",IFERROR(_xludf.XLOOKUP(S68,'Registrations'!#REF!,'Registrations'!#REF!,_xludf.XLOOKUP(S68,'Registrations'!$B$4:$B$211,'Registrations'!$E$4:$E$211,S68)),S68) &amp; " vs " &amp; IFERROR(_xludf.XLOOKUP(T68,'Registrations'!#REF!,'Registrations'!#REF!,_xludf.XLOOKUP(T68,'Registrations'!$B$4:$B$211,'Registrations'!$E$4:$E$211,T68)),T68))</f>
        <v>0 vs 0</v>
      </c>
      <c r="I68" s="78" t="str">
        <f t="shared" ca="1" si="16"/>
        <v>0</v>
      </c>
      <c r="J68" s="78" t="str">
        <f t="shared" ca="1" si="13"/>
        <v>0</v>
      </c>
      <c r="K68" s="78" t="str">
        <f ca="1">IF(Schedules[[#This Row],[Player 2]]="",Schedules[[#This Row],[Player 1]],Schedules[[#This Row],[Player 1]]&amp;" / "&amp;Schedules[[#This Row],[Player 2]])</f>
        <v>0 / 0</v>
      </c>
      <c r="L68" s="78">
        <v>15</v>
      </c>
      <c r="M68" s="78" t="str">
        <f t="shared" si="17"/>
        <v>WIN</v>
      </c>
      <c r="N68" s="78"/>
      <c r="O68" s="78"/>
      <c r="P68" s="78">
        <f>IF(Schedules[[#This Row],[Player 4]]="",Schedules[[#This Row],[Player 3]],Schedules[[#This Row],[Player 3]]&amp;" / "&amp;Schedules[[#This Row],[Player 4]])</f>
        <v>0</v>
      </c>
      <c r="Q68" s="78">
        <v>10</v>
      </c>
      <c r="R68" s="78" t="str">
        <f t="shared" si="18"/>
        <v>LOST</v>
      </c>
      <c r="S68" s="61">
        <f>Input!B15</f>
        <v>0</v>
      </c>
      <c r="T68" s="61">
        <f>Input!D15</f>
        <v>0</v>
      </c>
    </row>
    <row r="69" spans="1:20" hidden="1" x14ac:dyDescent="0.3">
      <c r="A69" s="109" t="s">
        <v>112</v>
      </c>
      <c r="B69" s="78" t="str">
        <f t="shared" si="19"/>
        <v>Adda</v>
      </c>
      <c r="C69" s="79">
        <f>C68</f>
        <v>46117.537500000013</v>
      </c>
      <c r="D69" s="79">
        <f>D68</f>
        <v>46117.544444444458</v>
      </c>
      <c r="E69" s="78" t="str">
        <f>E68</f>
        <v>Group</v>
      </c>
      <c r="F69" s="78">
        <f t="shared" si="11"/>
        <v>2</v>
      </c>
      <c r="G69" s="78">
        <v>4</v>
      </c>
      <c r="H69" s="78" t="str">
        <f ca="1">IF(OR(S69="",T69=""),"",IFERROR(_xludf.XLOOKUP(S69,'Registrations'!#REF!,'Registrations'!#REF!,_xludf.XLOOKUP(S69,'Registrations'!$B$4:$B$211,'Registrations'!$E$4:$E$211,S69)),S69) &amp; " vs " &amp; IFERROR(_xludf.XLOOKUP(T69,'Registrations'!#REF!,'Registrations'!#REF!,_xludf.XLOOKUP(T69,'Registrations'!$B$4:$B$211,'Registrations'!$E$4:$E$211,T69)),T69))</f>
        <v>0 vs 0</v>
      </c>
      <c r="I69" s="78" t="str">
        <f t="shared" ca="1" si="16"/>
        <v>0</v>
      </c>
      <c r="J69" s="78" t="str">
        <f t="shared" ca="1" si="13"/>
        <v>0</v>
      </c>
      <c r="K69" s="78" t="str">
        <f ca="1">IF(Schedules[[#This Row],[Player 2]]="",Schedules[[#This Row],[Player 1]],Schedules[[#This Row],[Player 1]]&amp;" / "&amp;Schedules[[#This Row],[Player 2]])</f>
        <v>0 / 0</v>
      </c>
      <c r="L69" s="78">
        <v>15</v>
      </c>
      <c r="M69" s="78" t="str">
        <f t="shared" si="17"/>
        <v>WIN</v>
      </c>
      <c r="N69" s="78"/>
      <c r="O69" s="78"/>
      <c r="P69" s="78">
        <f>IF(Schedules[[#This Row],[Player 4]]="",Schedules[[#This Row],[Player 3]],Schedules[[#This Row],[Player 3]]&amp;" / "&amp;Schedules[[#This Row],[Player 4]])</f>
        <v>0</v>
      </c>
      <c r="Q69" s="78">
        <v>10</v>
      </c>
      <c r="R69" s="78" t="str">
        <f t="shared" si="18"/>
        <v>LOST</v>
      </c>
      <c r="S69" s="61">
        <f>Input!C15</f>
        <v>0</v>
      </c>
      <c r="T69" s="61">
        <f>Input!E15</f>
        <v>0</v>
      </c>
    </row>
    <row r="70" spans="1:20" hidden="1" x14ac:dyDescent="0.3">
      <c r="A70" s="109" t="s">
        <v>112</v>
      </c>
      <c r="B70" s="78" t="str">
        <f t="shared" si="19"/>
        <v>Adda</v>
      </c>
      <c r="C70" s="79">
        <f>D69+TIME(0,3,0)</f>
        <v>46117.546527777791</v>
      </c>
      <c r="D70" s="79">
        <f>C70+TIME(0,10,0)</f>
        <v>46117.553472222236</v>
      </c>
      <c r="E70" s="78" t="str">
        <f>E69</f>
        <v>Group</v>
      </c>
      <c r="F70" s="78">
        <f t="shared" si="11"/>
        <v>1</v>
      </c>
      <c r="G70" s="78">
        <v>3</v>
      </c>
      <c r="H70" s="78" t="str">
        <f ca="1">IF(OR(S70="",T70=""),"",IFERROR(_xludf.XLOOKUP(S70,'Registrations'!#REF!,'Registrations'!#REF!,_xludf.XLOOKUP(S70,'Registrations'!$B$4:$B$211,'Registrations'!$E$4:$E$211,S70)),S70) &amp; " vs " &amp; IFERROR(_xludf.XLOOKUP(T70,'Registrations'!#REF!,'Registrations'!#REF!,_xludf.XLOOKUP(T70,'Registrations'!$B$4:$B$211,'Registrations'!$E$4:$E$211,T70)),T70))</f>
        <v>0 vs 0</v>
      </c>
      <c r="I70" s="78" t="str">
        <f t="shared" ca="1" si="16"/>
        <v>0</v>
      </c>
      <c r="J70" s="78" t="str">
        <f t="shared" ca="1" si="13"/>
        <v>0</v>
      </c>
      <c r="K70" s="78" t="str">
        <f ca="1">IF(Schedules[[#This Row],[Player 2]]="",Schedules[[#This Row],[Player 1]],Schedules[[#This Row],[Player 1]]&amp;" / "&amp;Schedules[[#This Row],[Player 2]])</f>
        <v>0 / 0</v>
      </c>
      <c r="L70" s="78">
        <v>15</v>
      </c>
      <c r="M70" s="78" t="str">
        <f t="shared" si="17"/>
        <v>WIN</v>
      </c>
      <c r="N70" s="78"/>
      <c r="O70" s="78"/>
      <c r="P70" s="78">
        <f>IF(Schedules[[#This Row],[Player 4]]="",Schedules[[#This Row],[Player 3]],Schedules[[#This Row],[Player 3]]&amp;" / "&amp;Schedules[[#This Row],[Player 4]])</f>
        <v>0</v>
      </c>
      <c r="Q70" s="78">
        <v>10</v>
      </c>
      <c r="R70" s="78" t="str">
        <f t="shared" si="18"/>
        <v>LOST</v>
      </c>
      <c r="S70" s="61">
        <f>Input!B15</f>
        <v>0</v>
      </c>
      <c r="T70" s="61">
        <f>Input!E15</f>
        <v>0</v>
      </c>
    </row>
    <row r="71" spans="1:20" hidden="1" x14ac:dyDescent="0.3">
      <c r="A71" s="109" t="s">
        <v>112</v>
      </c>
      <c r="B71" s="78" t="str">
        <f t="shared" si="19"/>
        <v>Adda</v>
      </c>
      <c r="C71" s="79">
        <f>C70</f>
        <v>46117.546527777791</v>
      </c>
      <c r="D71" s="79">
        <f>D70</f>
        <v>46117.553472222236</v>
      </c>
      <c r="E71" s="78" t="str">
        <f>E70</f>
        <v>Group</v>
      </c>
      <c r="F71" s="78">
        <f t="shared" si="11"/>
        <v>2</v>
      </c>
      <c r="G71" s="78">
        <v>4</v>
      </c>
      <c r="H71" s="78" t="str">
        <f ca="1">IF(OR(S71="",T71=""),"",IFERROR(_xludf.XLOOKUP(S71,'Registrations'!#REF!,'Registrations'!#REF!,_xludf.XLOOKUP(S71,'Registrations'!$B$4:$B$211,'Registrations'!$E$4:$E$211,S71)),S71) &amp; " vs " &amp; IFERROR(_xludf.XLOOKUP(T71,'Registrations'!#REF!,'Registrations'!#REF!,_xludf.XLOOKUP(T71,'Registrations'!$B$4:$B$211,'Registrations'!$E$4:$E$211,T71)),T71))</f>
        <v>0 vs 0</v>
      </c>
      <c r="I71" s="78" t="str">
        <f t="shared" ca="1" si="16"/>
        <v>0</v>
      </c>
      <c r="J71" s="78" t="str">
        <f t="shared" ca="1" si="13"/>
        <v>0</v>
      </c>
      <c r="K71" s="78" t="str">
        <f ca="1">IF(Schedules[[#This Row],[Player 2]]="",Schedules[[#This Row],[Player 1]],Schedules[[#This Row],[Player 1]]&amp;" / "&amp;Schedules[[#This Row],[Player 2]])</f>
        <v>0 / 0</v>
      </c>
      <c r="L71" s="78">
        <v>15</v>
      </c>
      <c r="M71" s="78" t="str">
        <f t="shared" si="17"/>
        <v>WIN</v>
      </c>
      <c r="N71" s="78"/>
      <c r="O71" s="78"/>
      <c r="P71" s="78">
        <f>IF(Schedules[[#This Row],[Player 4]]="",Schedules[[#This Row],[Player 3]],Schedules[[#This Row],[Player 3]]&amp;" / "&amp;Schedules[[#This Row],[Player 4]])</f>
        <v>0</v>
      </c>
      <c r="Q71" s="78">
        <v>10</v>
      </c>
      <c r="R71" s="78" t="str">
        <f t="shared" si="18"/>
        <v>LOST</v>
      </c>
      <c r="S71" s="61">
        <f>Input!C15</f>
        <v>0</v>
      </c>
      <c r="T71" s="61">
        <f>Input!D15</f>
        <v>0</v>
      </c>
    </row>
    <row r="72" spans="1:20" hidden="1" x14ac:dyDescent="0.3">
      <c r="A72" s="111" t="s">
        <v>112</v>
      </c>
      <c r="B72" s="74" t="str">
        <f t="shared" si="19"/>
        <v>Adda</v>
      </c>
      <c r="C72" s="75">
        <f>D71+TIME(0,3,0)</f>
        <v>46117.555555555569</v>
      </c>
      <c r="D72" s="75">
        <f>C72+TIME(0,10,0)</f>
        <v>46117.562500000015</v>
      </c>
      <c r="E72" s="74" t="s">
        <v>40</v>
      </c>
      <c r="F72" s="74">
        <f t="shared" si="11"/>
        <v>1</v>
      </c>
      <c r="G72" s="74" t="s">
        <v>442</v>
      </c>
      <c r="H72" s="74" t="str">
        <f ca="1">IF(OR(S72="",T72=""),"",IFERROR(_xludf.XLOOKUP(S72,'Registrations'!#REF!,'Registrations'!#REF!,_xludf.XLOOKUP(S72,'Registrations'!$B$4:$B$211,'Registrations'!$E$4:$E$211,S72)),S72) &amp; " vs " &amp; IFERROR(_xludf.XLOOKUP(T72,'Registrations'!#REF!,'Registrations'!#REF!,_xludf.XLOOKUP(T72,'Registrations'!$B$4:$B$211,'Registrations'!$E$4:$E$211,T72)),T72))</f>
        <v>0 vs 0</v>
      </c>
      <c r="I72" s="74" t="str">
        <f t="shared" ca="1" si="16"/>
        <v>0</v>
      </c>
      <c r="J72" s="74" t="str">
        <f t="shared" ca="1" si="13"/>
        <v>0</v>
      </c>
      <c r="K72" s="74" t="str">
        <f ca="1">IF(Schedules[[#This Row],[Player 2]]="",Schedules[[#This Row],[Player 1]],Schedules[[#This Row],[Player 1]]&amp;" / "&amp;Schedules[[#This Row],[Player 2]])</f>
        <v>0 / 0</v>
      </c>
      <c r="L72" s="74">
        <v>15</v>
      </c>
      <c r="M72" s="74" t="str">
        <f t="shared" si="17"/>
        <v>WIN</v>
      </c>
      <c r="N72" s="74"/>
      <c r="O72" s="74"/>
      <c r="P72" s="74">
        <f>IF(Schedules[[#This Row],[Player 4]]="",Schedules[[#This Row],[Player 3]],Schedules[[#This Row],[Player 3]]&amp;" / "&amp;Schedules[[#This Row],[Player 4]])</f>
        <v>0</v>
      </c>
      <c r="Q72" s="74">
        <v>10</v>
      </c>
      <c r="R72" s="74" t="str">
        <f t="shared" si="18"/>
        <v>LOST</v>
      </c>
      <c r="S72" s="61">
        <f>Input!H15</f>
        <v>0</v>
      </c>
      <c r="T72" s="61">
        <f>Input!I15</f>
        <v>0</v>
      </c>
    </row>
    <row r="73" spans="1:20" hidden="1" x14ac:dyDescent="0.3">
      <c r="A73" s="111" t="s">
        <v>112</v>
      </c>
      <c r="B73" s="74" t="str">
        <f t="shared" si="19"/>
        <v>Adda</v>
      </c>
      <c r="C73" s="75">
        <f>C72</f>
        <v>46117.555555555569</v>
      </c>
      <c r="D73" s="75">
        <f>D72</f>
        <v>46117.562500000015</v>
      </c>
      <c r="E73" s="74" t="str">
        <f>E72</f>
        <v>Quarters</v>
      </c>
      <c r="F73" s="74">
        <f t="shared" si="11"/>
        <v>2</v>
      </c>
      <c r="G73" s="74" t="s">
        <v>441</v>
      </c>
      <c r="H73" s="74" t="str">
        <f ca="1">IF(OR(S73="",T73=""),"",IFERROR(_xludf.XLOOKUP(S73,'Registrations'!#REF!,'Registrations'!#REF!,_xludf.XLOOKUP(S73,'Registrations'!$B$4:$B$211,'Registrations'!$E$4:$E$211,S73)),S73) &amp; " vs " &amp; IFERROR(_xludf.XLOOKUP(T73,'Registrations'!#REF!,'Registrations'!#REF!,_xludf.XLOOKUP(T73,'Registrations'!$B$4:$B$211,'Registrations'!$E$4:$E$211,T73)),T73))</f>
        <v>0 vs 0</v>
      </c>
      <c r="I73" s="74" t="str">
        <f t="shared" ca="1" si="16"/>
        <v>0</v>
      </c>
      <c r="J73" s="74" t="str">
        <f t="shared" ca="1" si="13"/>
        <v>0</v>
      </c>
      <c r="K73" s="74" t="str">
        <f ca="1">IF(Schedules[[#This Row],[Player 2]]="",Schedules[[#This Row],[Player 1]],Schedules[[#This Row],[Player 1]]&amp;" / "&amp;Schedules[[#This Row],[Player 2]])</f>
        <v>0 / 0</v>
      </c>
      <c r="L73" s="74">
        <v>15</v>
      </c>
      <c r="M73" s="74" t="str">
        <f t="shared" si="17"/>
        <v>WIN</v>
      </c>
      <c r="N73" s="74"/>
      <c r="O73" s="74"/>
      <c r="P73" s="74">
        <f>IF(Schedules[[#This Row],[Player 4]]="",Schedules[[#This Row],[Player 3]],Schedules[[#This Row],[Player 3]]&amp;" / "&amp;Schedules[[#This Row],[Player 4]])</f>
        <v>0</v>
      </c>
      <c r="Q73" s="74">
        <v>10</v>
      </c>
      <c r="R73" s="74" t="str">
        <f t="shared" si="18"/>
        <v>LOST</v>
      </c>
      <c r="S73" s="61">
        <f>Input!H16</f>
        <v>0</v>
      </c>
      <c r="T73" s="61">
        <f>Input!I16</f>
        <v>0</v>
      </c>
    </row>
    <row r="74" spans="1:20" hidden="1" x14ac:dyDescent="0.3">
      <c r="A74" s="113" t="s">
        <v>112</v>
      </c>
      <c r="B74" s="72" t="str">
        <f t="shared" si="19"/>
        <v>Adda</v>
      </c>
      <c r="C74" s="73">
        <f>D73+TIME(0,3,0)</f>
        <v>46117.564583333347</v>
      </c>
      <c r="D74" s="73">
        <f>C74+TIME(0,10,0)</f>
        <v>46117.571527777793</v>
      </c>
      <c r="E74" s="72" t="s">
        <v>444</v>
      </c>
      <c r="F74" s="72">
        <f t="shared" si="11"/>
        <v>1</v>
      </c>
      <c r="G74" s="72" t="s">
        <v>422</v>
      </c>
      <c r="H74" s="72" t="str">
        <f ca="1">IF(OR(S74="",T74=""),"",IFERROR(_xludf.XLOOKUP(S74,'Registrations'!#REF!,'Registrations'!#REF!,_xludf.XLOOKUP(S74,'Registrations'!$B$4:$B$211,'Registrations'!$E$4:$E$211,S74)),S74) &amp; " vs " &amp; IFERROR(_xludf.XLOOKUP(T74,'Registrations'!#REF!,'Registrations'!#REF!,_xludf.XLOOKUP(T74,'Registrations'!$B$4:$B$211,'Registrations'!$E$4:$E$211,T74)),T74))</f>
        <v>0 vs 0</v>
      </c>
      <c r="I74" s="72" t="str">
        <f t="shared" ca="1" si="16"/>
        <v>0</v>
      </c>
      <c r="J74" s="72" t="str">
        <f t="shared" ca="1" si="13"/>
        <v>0</v>
      </c>
      <c r="K74" s="72" t="str">
        <f ca="1">IF(Schedules[[#This Row],[Player 2]]="",Schedules[[#This Row],[Player 1]],Schedules[[#This Row],[Player 1]]&amp;" / "&amp;Schedules[[#This Row],[Player 2]])</f>
        <v>0 / 0</v>
      </c>
      <c r="L74" s="72">
        <v>15</v>
      </c>
      <c r="M74" s="72" t="str">
        <f t="shared" si="17"/>
        <v>WIN</v>
      </c>
      <c r="N74" s="72"/>
      <c r="O74" s="72"/>
      <c r="P74" s="72">
        <f>IF(Schedules[[#This Row],[Player 4]]="",Schedules[[#This Row],[Player 3]],Schedules[[#This Row],[Player 3]]&amp;" / "&amp;Schedules[[#This Row],[Player 4]])</f>
        <v>0</v>
      </c>
      <c r="Q74" s="72">
        <v>10</v>
      </c>
      <c r="R74" s="72" t="str">
        <f t="shared" si="18"/>
        <v>LOST</v>
      </c>
      <c r="S74" s="61">
        <f>Input!L14</f>
        <v>0</v>
      </c>
      <c r="T74" s="61">
        <f>Input!M14</f>
        <v>0</v>
      </c>
    </row>
    <row r="75" spans="1:20" hidden="1" x14ac:dyDescent="0.3">
      <c r="A75" s="113" t="s">
        <v>112</v>
      </c>
      <c r="B75" s="72" t="str">
        <f t="shared" si="19"/>
        <v>Adda</v>
      </c>
      <c r="C75" s="73">
        <f>C74</f>
        <v>46117.564583333347</v>
      </c>
      <c r="D75" s="73">
        <f>D74</f>
        <v>46117.571527777793</v>
      </c>
      <c r="E75" s="72" t="str">
        <f>E74</f>
        <v>Semi Finals</v>
      </c>
      <c r="F75" s="72">
        <f t="shared" si="11"/>
        <v>2</v>
      </c>
      <c r="G75" s="72" t="s">
        <v>440</v>
      </c>
      <c r="H75" s="72" t="str">
        <f ca="1">IF(OR(S75="",T75=""),"",IFERROR(_xludf.XLOOKUP(S75,'Registrations'!#REF!,'Registrations'!#REF!,_xludf.XLOOKUP(S75,'Registrations'!$B$4:$B$211,'Registrations'!$E$4:$E$211,S75)),S75) &amp; " vs " &amp; IFERROR(_xludf.XLOOKUP(T75,'Registrations'!#REF!,'Registrations'!#REF!,_xludf.XLOOKUP(T75,'Registrations'!$B$4:$B$211,'Registrations'!$E$4:$E$211,T75)),T75))</f>
        <v>0 vs WC 1</v>
      </c>
      <c r="I75" s="72" t="str">
        <f t="shared" ca="1" si="16"/>
        <v>0</v>
      </c>
      <c r="J75" s="72" t="str">
        <f t="shared" ca="1" si="13"/>
        <v>WC 1</v>
      </c>
      <c r="K75" s="72" t="str">
        <f ca="1">IF(Schedules[[#This Row],[Player 2]]="",Schedules[[#This Row],[Player 1]],Schedules[[#This Row],[Player 1]]&amp;" / "&amp;Schedules[[#This Row],[Player 2]])</f>
        <v>0 / WC 1</v>
      </c>
      <c r="L75" s="72">
        <v>15</v>
      </c>
      <c r="M75" s="72" t="str">
        <f t="shared" si="17"/>
        <v>WIN</v>
      </c>
      <c r="N75" s="72"/>
      <c r="O75" s="72"/>
      <c r="P75" s="72">
        <f>IF(Schedules[[#This Row],[Player 4]]="",Schedules[[#This Row],[Player 3]],Schedules[[#This Row],[Player 3]]&amp;" / "&amp;Schedules[[#This Row],[Player 4]])</f>
        <v>0</v>
      </c>
      <c r="Q75" s="72">
        <v>10</v>
      </c>
      <c r="R75" s="72" t="str">
        <f t="shared" si="18"/>
        <v>LOST</v>
      </c>
      <c r="S75" s="61">
        <f>Input!L15</f>
        <v>0</v>
      </c>
      <c r="T75" s="61" t="str">
        <f>Input!M15</f>
        <v>WC 1</v>
      </c>
    </row>
    <row r="76" spans="1:20" hidden="1" x14ac:dyDescent="0.3">
      <c r="A76" s="114" t="s">
        <v>112</v>
      </c>
      <c r="B76" s="68" t="str">
        <f t="shared" si="19"/>
        <v>Adda</v>
      </c>
      <c r="C76" s="69">
        <f>D75+TIME(0,3,0)</f>
        <v>46117.573611111126</v>
      </c>
      <c r="D76" s="69">
        <f>C76+TIME(0,10,0)</f>
        <v>46117.580555555571</v>
      </c>
      <c r="E76" s="68" t="s">
        <v>41</v>
      </c>
      <c r="F76" s="68">
        <f t="shared" si="11"/>
        <v>1</v>
      </c>
      <c r="G76" s="68" t="s">
        <v>422</v>
      </c>
      <c r="H76" s="68" t="str">
        <f ca="1">IF(OR(S76="",T76=""),"",IFERROR(_xludf.XLOOKUP(S76,'Registrations'!#REF!,'Registrations'!#REF!,_xludf.XLOOKUP(S76,'Registrations'!$B$4:$B$211,'Registrations'!$E$4:$E$211,S76)),S76) &amp; " vs " &amp; IFERROR(_xludf.XLOOKUP(T76,'Registrations'!#REF!,'Registrations'!#REF!,_xludf.XLOOKUP(T76,'Registrations'!$B$4:$B$211,'Registrations'!$E$4:$E$211,T76)),T76))</f>
        <v>0 vs 0</v>
      </c>
      <c r="I76" s="68" t="str">
        <f t="shared" ca="1" si="16"/>
        <v>0</v>
      </c>
      <c r="J76" s="68" t="str">
        <f t="shared" ca="1" si="13"/>
        <v>0</v>
      </c>
      <c r="K76" s="68" t="str">
        <f ca="1">IF(Schedules[[#This Row],[Player 2]]="",Schedules[[#This Row],[Player 1]],Schedules[[#This Row],[Player 1]]&amp;" / "&amp;Schedules[[#This Row],[Player 2]])</f>
        <v>0 / 0</v>
      </c>
      <c r="L76" s="68">
        <v>15</v>
      </c>
      <c r="M76" s="68" t="str">
        <f t="shared" si="17"/>
        <v>WIN</v>
      </c>
      <c r="N76" s="68"/>
      <c r="O76" s="68"/>
      <c r="P76" s="68">
        <f>IF(Schedules[[#This Row],[Player 4]]="",Schedules[[#This Row],[Player 3]],Schedules[[#This Row],[Player 3]]&amp;" / "&amp;Schedules[[#This Row],[Player 4]])</f>
        <v>0</v>
      </c>
      <c r="Q76" s="68">
        <v>10</v>
      </c>
      <c r="R76" s="68" t="str">
        <f t="shared" si="18"/>
        <v>LOST</v>
      </c>
      <c r="S76" s="61">
        <f>Input!P14</f>
        <v>0</v>
      </c>
      <c r="T76" s="61">
        <f>Input!Q14</f>
        <v>0</v>
      </c>
    </row>
    <row r="77" spans="1:20" hidden="1" x14ac:dyDescent="0.3">
      <c r="A77" s="109" t="s">
        <v>54</v>
      </c>
      <c r="B77" s="78" t="str">
        <f t="shared" si="19"/>
        <v>Adda</v>
      </c>
      <c r="C77" s="79">
        <v>0.625</v>
      </c>
      <c r="D77" s="79">
        <f>C77+TIME(0,10,0)</f>
        <v>0.63194444444444442</v>
      </c>
      <c r="E77" s="78" t="s">
        <v>433</v>
      </c>
      <c r="F77" s="78">
        <v>1</v>
      </c>
      <c r="G77" s="78">
        <v>1</v>
      </c>
      <c r="H77" s="78" t="str">
        <f ca="1">IF(OR(S77="",T77=""),"",IFERROR(_xludf.XLOOKUP(S77,'Registrations'!#REF!,'Registrations'!#REF!,_xludf.XLOOKUP(S77,'Registrations'!$B$4:$B$211,'Registrations'!$E$4:$E$211,S77)),S77) &amp; " vs " &amp; IFERROR(_xludf.XLOOKUP(T77,'Registrations'!#REF!,'Registrations'!#REF!,_xludf.XLOOKUP(T77,'Registrations'!$B$4:$B$211,'Registrations'!$E$4:$E$211,T77)),T77))</f>
        <v>0 vs 0</v>
      </c>
      <c r="I77" s="78" t="str">
        <f t="shared" ca="1" si="16"/>
        <v>0</v>
      </c>
      <c r="J77" s="78" t="str">
        <f t="shared" ca="1" si="13"/>
        <v>0</v>
      </c>
      <c r="K77" s="78" t="str">
        <f ca="1">IF(Schedules[[#This Row],[Player 2]]="",Schedules[[#This Row],[Player 1]],Schedules[[#This Row],[Player 1]]&amp;" / "&amp;Schedules[[#This Row],[Player 2]])</f>
        <v>0 / 0</v>
      </c>
      <c r="L77" s="78">
        <v>15</v>
      </c>
      <c r="M77" s="78" t="str">
        <f t="shared" si="17"/>
        <v>WIN</v>
      </c>
      <c r="N77" s="78"/>
      <c r="O77" s="78"/>
      <c r="P77" s="78">
        <f>IF(Schedules[[#This Row],[Player 4]]="",Schedules[[#This Row],[Player 3]],Schedules[[#This Row],[Player 3]]&amp;" / "&amp;Schedules[[#This Row],[Player 4]])</f>
        <v>0</v>
      </c>
      <c r="Q77" s="78">
        <v>10</v>
      </c>
      <c r="R77" s="78" t="str">
        <f t="shared" si="18"/>
        <v>LOST</v>
      </c>
      <c r="S77" s="61">
        <f>Input!B25</f>
        <v>0</v>
      </c>
      <c r="T77" s="61">
        <f>Input!C25</f>
        <v>0</v>
      </c>
    </row>
    <row r="78" spans="1:20" hidden="1" x14ac:dyDescent="0.3">
      <c r="A78" s="109" t="s">
        <v>54</v>
      </c>
      <c r="B78" s="78" t="str">
        <f t="shared" si="19"/>
        <v>Adda</v>
      </c>
      <c r="C78" s="79">
        <f>C77</f>
        <v>0.625</v>
      </c>
      <c r="D78" s="79">
        <f>D77</f>
        <v>0.63194444444444442</v>
      </c>
      <c r="E78" s="78" t="str">
        <f>E77</f>
        <v>Group</v>
      </c>
      <c r="F78" s="78">
        <v>2</v>
      </c>
      <c r="G78" s="78">
        <v>2</v>
      </c>
      <c r="H78" s="78" t="str">
        <f ca="1">IF(OR(S78="",T78=""),"",IFERROR(_xludf.XLOOKUP(S78,'Registrations'!#REF!,'Registrations'!#REF!,_xludf.XLOOKUP(S78,'Registrations'!$B$4:$B$211,'Registrations'!$E$4:$E$211,S78)),S78) &amp; " vs " &amp; IFERROR(_xludf.XLOOKUP(T78,'Registrations'!#REF!,'Registrations'!#REF!,_xludf.XLOOKUP(T78,'Registrations'!$B$4:$B$211,'Registrations'!$E$4:$E$211,T78)),T78))</f>
        <v>0 vs 0</v>
      </c>
      <c r="I78" s="78" t="str">
        <f t="shared" ca="1" si="16"/>
        <v>0</v>
      </c>
      <c r="J78" s="78" t="str">
        <f t="shared" ca="1" si="13"/>
        <v>0</v>
      </c>
      <c r="K78" s="78" t="str">
        <f ca="1">IF(Schedules[[#This Row],[Player 2]]="",Schedules[[#This Row],[Player 1]],Schedules[[#This Row],[Player 1]]&amp;" / "&amp;Schedules[[#This Row],[Player 2]])</f>
        <v>0 / 0</v>
      </c>
      <c r="L78" s="78">
        <v>15</v>
      </c>
      <c r="M78" s="78" t="str">
        <f t="shared" si="17"/>
        <v>WIN</v>
      </c>
      <c r="N78" s="78"/>
      <c r="O78" s="78"/>
      <c r="P78" s="78">
        <f>IF(Schedules[[#This Row],[Player 4]]="",Schedules[[#This Row],[Player 3]],Schedules[[#This Row],[Player 3]]&amp;" / "&amp;Schedules[[#This Row],[Player 4]])</f>
        <v>0</v>
      </c>
      <c r="Q78" s="78">
        <v>10</v>
      </c>
      <c r="R78" s="78" t="str">
        <f t="shared" si="18"/>
        <v>LOST</v>
      </c>
      <c r="S78" s="61">
        <f>Input!B26</f>
        <v>0</v>
      </c>
      <c r="T78" s="61">
        <f>Input!C26</f>
        <v>0</v>
      </c>
    </row>
    <row r="79" spans="1:20" hidden="1" x14ac:dyDescent="0.3">
      <c r="A79" s="109" t="s">
        <v>54</v>
      </c>
      <c r="B79" s="78" t="str">
        <f t="shared" si="19"/>
        <v>Adda</v>
      </c>
      <c r="C79" s="79">
        <f>D78+TIME(0,3,0)</f>
        <v>0.63402777777777775</v>
      </c>
      <c r="D79" s="79">
        <f>C79+TIME(0,10,0)</f>
        <v>0.64097222222222217</v>
      </c>
      <c r="E79" s="78" t="str">
        <f t="shared" ref="E79:E88" si="20">E78</f>
        <v>Group</v>
      </c>
      <c r="F79" s="78">
        <v>1</v>
      </c>
      <c r="G79" s="78">
        <v>1</v>
      </c>
      <c r="H79" s="78" t="str">
        <f ca="1">IF(OR(S79="",T79=""),"",IFERROR(_xludf.XLOOKUP(S79,'Registrations'!#REF!,'Registrations'!#REF!,_xludf.XLOOKUP(S79,'Registrations'!$B$4:$B$211,'Registrations'!$E$4:$E$211,S79)),S79) &amp; " vs " &amp; IFERROR(_xludf.XLOOKUP(T79,'Registrations'!#REF!,'Registrations'!#REF!,_xludf.XLOOKUP(T79,'Registrations'!$B$4:$B$211,'Registrations'!$E$4:$E$211,T79)),T79))</f>
        <v>0 vs 0</v>
      </c>
      <c r="I79" s="78" t="str">
        <f t="shared" ca="1" si="16"/>
        <v>0</v>
      </c>
      <c r="J79" s="78" t="str">
        <f t="shared" ca="1" si="13"/>
        <v>0</v>
      </c>
      <c r="K79" s="78" t="str">
        <f ca="1">IF(Schedules[[#This Row],[Player 2]]="",Schedules[[#This Row],[Player 1]],Schedules[[#This Row],[Player 1]]&amp;" / "&amp;Schedules[[#This Row],[Player 2]])</f>
        <v>0 / 0</v>
      </c>
      <c r="L79" s="78">
        <v>15</v>
      </c>
      <c r="M79" s="78" t="str">
        <f t="shared" si="17"/>
        <v>WIN</v>
      </c>
      <c r="N79" s="78"/>
      <c r="O79" s="78"/>
      <c r="P79" s="78">
        <f>IF(Schedules[[#This Row],[Player 4]]="",Schedules[[#This Row],[Player 3]],Schedules[[#This Row],[Player 3]]&amp;" / "&amp;Schedules[[#This Row],[Player 4]])</f>
        <v>0</v>
      </c>
      <c r="Q79" s="78">
        <v>10</v>
      </c>
      <c r="R79" s="78" t="str">
        <f t="shared" si="18"/>
        <v>LOST</v>
      </c>
      <c r="S79" s="61">
        <f>Input!D25</f>
        <v>0</v>
      </c>
      <c r="T79" s="61">
        <f>Input!E25</f>
        <v>0</v>
      </c>
    </row>
    <row r="80" spans="1:20" hidden="1" x14ac:dyDescent="0.3">
      <c r="A80" s="109" t="s">
        <v>54</v>
      </c>
      <c r="B80" s="78" t="str">
        <f t="shared" si="19"/>
        <v>Adda</v>
      </c>
      <c r="C80" s="79">
        <f>C79</f>
        <v>0.63402777777777775</v>
      </c>
      <c r="D80" s="79">
        <f>D79</f>
        <v>0.64097222222222217</v>
      </c>
      <c r="E80" s="78" t="str">
        <f t="shared" si="20"/>
        <v>Group</v>
      </c>
      <c r="F80" s="78">
        <v>2</v>
      </c>
      <c r="G80" s="78">
        <v>2</v>
      </c>
      <c r="H80" s="78" t="str">
        <f ca="1">IF(OR(S80="",T80=""),"",IFERROR(_xludf.XLOOKUP(S80,'Registrations'!#REF!,'Registrations'!#REF!,_xludf.XLOOKUP(S80,'Registrations'!$B$4:$B$211,'Registrations'!$E$4:$E$211,S80)),S80) &amp; " vs " &amp; IFERROR(_xludf.XLOOKUP(T80,'Registrations'!#REF!,'Registrations'!#REF!,_xludf.XLOOKUP(T80,'Registrations'!$B$4:$B$211,'Registrations'!$E$4:$E$211,T80)),T80))</f>
        <v>0 vs 0</v>
      </c>
      <c r="I80" s="78" t="str">
        <f t="shared" ca="1" si="16"/>
        <v>0</v>
      </c>
      <c r="J80" s="78" t="str">
        <f t="shared" ca="1" si="13"/>
        <v>0</v>
      </c>
      <c r="K80" s="78" t="str">
        <f ca="1">IF(Schedules[[#This Row],[Player 2]]="",Schedules[[#This Row],[Player 1]],Schedules[[#This Row],[Player 1]]&amp;" / "&amp;Schedules[[#This Row],[Player 2]])</f>
        <v>0 / 0</v>
      </c>
      <c r="L80" s="78">
        <v>15</v>
      </c>
      <c r="M80" s="78" t="str">
        <f t="shared" si="17"/>
        <v>WIN</v>
      </c>
      <c r="N80" s="78"/>
      <c r="O80" s="78"/>
      <c r="P80" s="78">
        <f>IF(Schedules[[#This Row],[Player 4]]="",Schedules[[#This Row],[Player 3]],Schedules[[#This Row],[Player 3]]&amp;" / "&amp;Schedules[[#This Row],[Player 4]])</f>
        <v>0</v>
      </c>
      <c r="Q80" s="78">
        <v>10</v>
      </c>
      <c r="R80" s="78" t="str">
        <f t="shared" si="18"/>
        <v>LOST</v>
      </c>
      <c r="S80" s="61">
        <f>Input!D26</f>
        <v>0</v>
      </c>
      <c r="T80" s="61">
        <f>Input!E26</f>
        <v>0</v>
      </c>
    </row>
    <row r="81" spans="1:20" hidden="1" x14ac:dyDescent="0.3">
      <c r="A81" s="109" t="s">
        <v>54</v>
      </c>
      <c r="B81" s="78" t="str">
        <f t="shared" si="19"/>
        <v>Adda</v>
      </c>
      <c r="C81" s="79">
        <f>D80+TIME(0,3,0)</f>
        <v>0.64305555555555549</v>
      </c>
      <c r="D81" s="79">
        <f>C81+TIME(0,10,0)</f>
        <v>0.64999999999999991</v>
      </c>
      <c r="E81" s="78" t="str">
        <f t="shared" si="20"/>
        <v>Group</v>
      </c>
      <c r="F81" s="78">
        <v>1</v>
      </c>
      <c r="G81" s="78">
        <v>1</v>
      </c>
      <c r="H81" s="78" t="str">
        <f ca="1">IF(OR(S81="",T81=""),"",IFERROR(_xludf.XLOOKUP(S81,'Registrations'!#REF!,'Registrations'!#REF!,_xludf.XLOOKUP(S81,'Registrations'!$B$4:$B$211,'Registrations'!$E$4:$E$211,S81)),S81) &amp; " vs " &amp; IFERROR(_xludf.XLOOKUP(T81,'Registrations'!#REF!,'Registrations'!#REF!,_xludf.XLOOKUP(T81,'Registrations'!$B$4:$B$211,'Registrations'!$E$4:$E$211,T81)),T81))</f>
        <v>0 vs 0</v>
      </c>
      <c r="I81" s="78" t="str">
        <f t="shared" ca="1" si="16"/>
        <v>0</v>
      </c>
      <c r="J81" s="78" t="str">
        <f t="shared" ca="1" si="13"/>
        <v>0</v>
      </c>
      <c r="K81" s="78" t="str">
        <f ca="1">IF(Schedules[[#This Row],[Player 2]]="",Schedules[[#This Row],[Player 1]],Schedules[[#This Row],[Player 1]]&amp;" / "&amp;Schedules[[#This Row],[Player 2]])</f>
        <v>0 / 0</v>
      </c>
      <c r="L81" s="78">
        <v>15</v>
      </c>
      <c r="M81" s="78" t="str">
        <f t="shared" si="17"/>
        <v>WIN</v>
      </c>
      <c r="N81" s="78"/>
      <c r="O81" s="78"/>
      <c r="P81" s="78">
        <f>IF(Schedules[[#This Row],[Player 4]]="",Schedules[[#This Row],[Player 3]],Schedules[[#This Row],[Player 3]]&amp;" / "&amp;Schedules[[#This Row],[Player 4]])</f>
        <v>0</v>
      </c>
      <c r="Q81" s="78">
        <v>10</v>
      </c>
      <c r="R81" s="78" t="str">
        <f t="shared" si="18"/>
        <v>LOST</v>
      </c>
      <c r="S81" s="61">
        <f>Input!B25</f>
        <v>0</v>
      </c>
      <c r="T81" s="61">
        <f>Input!D25</f>
        <v>0</v>
      </c>
    </row>
    <row r="82" spans="1:20" hidden="1" x14ac:dyDescent="0.3">
      <c r="A82" s="109" t="s">
        <v>54</v>
      </c>
      <c r="B82" s="78" t="str">
        <f t="shared" si="19"/>
        <v>Adda</v>
      </c>
      <c r="C82" s="79">
        <f>C81</f>
        <v>0.64305555555555549</v>
      </c>
      <c r="D82" s="79">
        <f>D81</f>
        <v>0.64999999999999991</v>
      </c>
      <c r="E82" s="78" t="str">
        <f t="shared" si="20"/>
        <v>Group</v>
      </c>
      <c r="F82" s="78">
        <v>2</v>
      </c>
      <c r="G82" s="78">
        <v>2</v>
      </c>
      <c r="H82" s="78" t="str">
        <f ca="1">IF(OR(S82="",T82=""),"",IFERROR(_xludf.XLOOKUP(S82,'Registrations'!#REF!,'Registrations'!#REF!,_xludf.XLOOKUP(S82,'Registrations'!$B$4:$B$211,'Registrations'!$E$4:$E$211,S82)),S82) &amp; " vs " &amp; IFERROR(_xludf.XLOOKUP(T82,'Registrations'!#REF!,'Registrations'!#REF!,_xludf.XLOOKUP(T82,'Registrations'!$B$4:$B$211,'Registrations'!$E$4:$E$211,T82)),T82))</f>
        <v>0 vs 0</v>
      </c>
      <c r="I82" s="78" t="str">
        <f t="shared" ca="1" si="16"/>
        <v>0</v>
      </c>
      <c r="J82" s="78" t="str">
        <f t="shared" ca="1" si="13"/>
        <v>0</v>
      </c>
      <c r="K82" s="78" t="str">
        <f ca="1">IF(Schedules[[#This Row],[Player 2]]="",Schedules[[#This Row],[Player 1]],Schedules[[#This Row],[Player 1]]&amp;" / "&amp;Schedules[[#This Row],[Player 2]])</f>
        <v>0 / 0</v>
      </c>
      <c r="L82" s="78">
        <v>15</v>
      </c>
      <c r="M82" s="78" t="str">
        <f t="shared" si="17"/>
        <v>WIN</v>
      </c>
      <c r="N82" s="78"/>
      <c r="O82" s="78"/>
      <c r="P82" s="78">
        <f>IF(Schedules[[#This Row],[Player 4]]="",Schedules[[#This Row],[Player 3]],Schedules[[#This Row],[Player 3]]&amp;" / "&amp;Schedules[[#This Row],[Player 4]])</f>
        <v>0</v>
      </c>
      <c r="Q82" s="78">
        <v>10</v>
      </c>
      <c r="R82" s="78" t="str">
        <f t="shared" si="18"/>
        <v>LOST</v>
      </c>
      <c r="S82" s="61">
        <f>Input!B26</f>
        <v>0</v>
      </c>
      <c r="T82" s="61">
        <f>Input!D26</f>
        <v>0</v>
      </c>
    </row>
    <row r="83" spans="1:20" hidden="1" x14ac:dyDescent="0.3">
      <c r="A83" s="109" t="s">
        <v>54</v>
      </c>
      <c r="B83" s="78" t="str">
        <f t="shared" si="19"/>
        <v>Adda</v>
      </c>
      <c r="C83" s="79">
        <f>D82+TIME(0,3,0)</f>
        <v>0.65208333333333324</v>
      </c>
      <c r="D83" s="79">
        <f>C83+TIME(0,10,0)</f>
        <v>0.65902777777777766</v>
      </c>
      <c r="E83" s="78" t="str">
        <f t="shared" si="20"/>
        <v>Group</v>
      </c>
      <c r="F83" s="78">
        <v>1</v>
      </c>
      <c r="G83" s="78">
        <v>1</v>
      </c>
      <c r="H83" s="78" t="str">
        <f ca="1">IF(OR(S83="",T83=""),"",IFERROR(_xludf.XLOOKUP(S83,'Registrations'!#REF!,'Registrations'!#REF!,_xludf.XLOOKUP(S83,'Registrations'!$B$4:$B$211,'Registrations'!$E$4:$E$211,S83)),S83) &amp; " vs " &amp; IFERROR(_xludf.XLOOKUP(T83,'Registrations'!#REF!,'Registrations'!#REF!,_xludf.XLOOKUP(T83,'Registrations'!$B$4:$B$211,'Registrations'!$E$4:$E$211,T83)),T83))</f>
        <v>0 vs 0</v>
      </c>
      <c r="I83" s="78" t="str">
        <f t="shared" ca="1" si="16"/>
        <v>0</v>
      </c>
      <c r="J83" s="78" t="str">
        <f t="shared" ca="1" si="13"/>
        <v>0</v>
      </c>
      <c r="K83" s="78" t="str">
        <f ca="1">IF(Schedules[[#This Row],[Player 2]]="",Schedules[[#This Row],[Player 1]],Schedules[[#This Row],[Player 1]]&amp;" / "&amp;Schedules[[#This Row],[Player 2]])</f>
        <v>0 / 0</v>
      </c>
      <c r="L83" s="78">
        <v>15</v>
      </c>
      <c r="M83" s="78" t="str">
        <f t="shared" si="17"/>
        <v>WIN</v>
      </c>
      <c r="N83" s="78"/>
      <c r="O83" s="78"/>
      <c r="P83" s="78">
        <f>IF(Schedules[[#This Row],[Player 4]]="",Schedules[[#This Row],[Player 3]],Schedules[[#This Row],[Player 3]]&amp;" / "&amp;Schedules[[#This Row],[Player 4]])</f>
        <v>0</v>
      </c>
      <c r="Q83" s="78">
        <v>10</v>
      </c>
      <c r="R83" s="78" t="str">
        <f t="shared" si="18"/>
        <v>LOST</v>
      </c>
      <c r="S83" s="61">
        <f>Input!C25</f>
        <v>0</v>
      </c>
      <c r="T83" s="61">
        <f>Input!E25</f>
        <v>0</v>
      </c>
    </row>
    <row r="84" spans="1:20" hidden="1" x14ac:dyDescent="0.3">
      <c r="A84" s="109" t="s">
        <v>54</v>
      </c>
      <c r="B84" s="78" t="str">
        <f t="shared" si="19"/>
        <v>Adda</v>
      </c>
      <c r="C84" s="79">
        <f>C83</f>
        <v>0.65208333333333324</v>
      </c>
      <c r="D84" s="79">
        <f>D83</f>
        <v>0.65902777777777766</v>
      </c>
      <c r="E84" s="78" t="str">
        <f t="shared" si="20"/>
        <v>Group</v>
      </c>
      <c r="F84" s="78">
        <v>2</v>
      </c>
      <c r="G84" s="78">
        <v>2</v>
      </c>
      <c r="H84" s="78" t="str">
        <f ca="1">IF(OR(S84="",T84=""),"",IFERROR(_xludf.XLOOKUP(S84,'Registrations'!#REF!,'Registrations'!#REF!,_xludf.XLOOKUP(S84,'Registrations'!$B$4:$B$211,'Registrations'!$E$4:$E$211,S84)),S84) &amp; " vs " &amp; IFERROR(_xludf.XLOOKUP(T84,'Registrations'!#REF!,'Registrations'!#REF!,_xludf.XLOOKUP(T84,'Registrations'!$B$4:$B$211,'Registrations'!$E$4:$E$211,T84)),T84))</f>
        <v>0 vs 0</v>
      </c>
      <c r="I84" s="78" t="str">
        <f t="shared" ca="1" si="16"/>
        <v>0</v>
      </c>
      <c r="J84" s="78" t="str">
        <f t="shared" ca="1" si="13"/>
        <v>0</v>
      </c>
      <c r="K84" s="78" t="str">
        <f ca="1">IF(Schedules[[#This Row],[Player 2]]="",Schedules[[#This Row],[Player 1]],Schedules[[#This Row],[Player 1]]&amp;" / "&amp;Schedules[[#This Row],[Player 2]])</f>
        <v>0 / 0</v>
      </c>
      <c r="L84" s="78">
        <v>15</v>
      </c>
      <c r="M84" s="78" t="str">
        <f t="shared" si="17"/>
        <v>WIN</v>
      </c>
      <c r="N84" s="78"/>
      <c r="O84" s="78"/>
      <c r="P84" s="78">
        <f>IF(Schedules[[#This Row],[Player 4]]="",Schedules[[#This Row],[Player 3]],Schedules[[#This Row],[Player 3]]&amp;" / "&amp;Schedules[[#This Row],[Player 4]])</f>
        <v>0</v>
      </c>
      <c r="Q84" s="78">
        <v>10</v>
      </c>
      <c r="R84" s="78" t="str">
        <f t="shared" si="18"/>
        <v>LOST</v>
      </c>
      <c r="S84" s="61">
        <f>Input!C26</f>
        <v>0</v>
      </c>
      <c r="T84" s="61">
        <f>Input!E26</f>
        <v>0</v>
      </c>
    </row>
    <row r="85" spans="1:20" hidden="1" x14ac:dyDescent="0.3">
      <c r="A85" s="109" t="s">
        <v>54</v>
      </c>
      <c r="B85" s="78" t="str">
        <f t="shared" si="19"/>
        <v>Adda</v>
      </c>
      <c r="C85" s="79">
        <f>D84+TIME(0,3,0)</f>
        <v>0.66111111111111098</v>
      </c>
      <c r="D85" s="79">
        <f>C85+TIME(0,10,0)</f>
        <v>0.6680555555555554</v>
      </c>
      <c r="E85" s="78" t="str">
        <f t="shared" si="20"/>
        <v>Group</v>
      </c>
      <c r="F85" s="78">
        <v>1</v>
      </c>
      <c r="G85" s="78">
        <v>1</v>
      </c>
      <c r="H85" s="78" t="str">
        <f ca="1">IF(OR(S85="",T85=""),"",IFERROR(_xludf.XLOOKUP(S85,'Registrations'!#REF!,'Registrations'!#REF!,_xludf.XLOOKUP(S85,'Registrations'!$B$4:$B$211,'Registrations'!$E$4:$E$211,S85)),S85) &amp; " vs " &amp; IFERROR(_xludf.XLOOKUP(T85,'Registrations'!#REF!,'Registrations'!#REF!,_xludf.XLOOKUP(T85,'Registrations'!$B$4:$B$211,'Registrations'!$E$4:$E$211,T85)),T85))</f>
        <v>0 vs 0</v>
      </c>
      <c r="I85" s="78" t="str">
        <f t="shared" ca="1" si="16"/>
        <v>0</v>
      </c>
      <c r="J85" s="78" t="str">
        <f t="shared" ca="1" si="13"/>
        <v>0</v>
      </c>
      <c r="K85" s="78" t="str">
        <f ca="1">IF(Schedules[[#This Row],[Player 2]]="",Schedules[[#This Row],[Player 1]],Schedules[[#This Row],[Player 1]]&amp;" / "&amp;Schedules[[#This Row],[Player 2]])</f>
        <v>0 / 0</v>
      </c>
      <c r="L85" s="78">
        <v>15</v>
      </c>
      <c r="M85" s="78" t="str">
        <f t="shared" si="17"/>
        <v>WIN</v>
      </c>
      <c r="N85" s="78"/>
      <c r="O85" s="78"/>
      <c r="P85" s="78">
        <f>IF(Schedules[[#This Row],[Player 4]]="",Schedules[[#This Row],[Player 3]],Schedules[[#This Row],[Player 3]]&amp;" / "&amp;Schedules[[#This Row],[Player 4]])</f>
        <v>0</v>
      </c>
      <c r="Q85" s="78">
        <v>10</v>
      </c>
      <c r="R85" s="78" t="str">
        <f t="shared" si="18"/>
        <v>LOST</v>
      </c>
      <c r="S85" s="61">
        <f>Input!B25</f>
        <v>0</v>
      </c>
      <c r="T85" s="61">
        <f>Input!E25</f>
        <v>0</v>
      </c>
    </row>
    <row r="86" spans="1:20" hidden="1" x14ac:dyDescent="0.3">
      <c r="A86" s="109" t="s">
        <v>54</v>
      </c>
      <c r="B86" s="78" t="str">
        <f t="shared" si="19"/>
        <v>Adda</v>
      </c>
      <c r="C86" s="79">
        <f>C85</f>
        <v>0.66111111111111098</v>
      </c>
      <c r="D86" s="79">
        <f>D85</f>
        <v>0.6680555555555554</v>
      </c>
      <c r="E86" s="78" t="str">
        <f t="shared" si="20"/>
        <v>Group</v>
      </c>
      <c r="F86" s="78">
        <v>2</v>
      </c>
      <c r="G86" s="78">
        <v>2</v>
      </c>
      <c r="H86" s="78" t="str">
        <f ca="1">IF(OR(S86="",T86=""),"",IFERROR(_xludf.XLOOKUP(S86,'Registrations'!#REF!,'Registrations'!#REF!,_xludf.XLOOKUP(S86,'Registrations'!$B$4:$B$211,'Registrations'!$E$4:$E$211,S86)),S86) &amp; " vs " &amp; IFERROR(_xludf.XLOOKUP(T86,'Registrations'!#REF!,'Registrations'!#REF!,_xludf.XLOOKUP(T86,'Registrations'!$B$4:$B$211,'Registrations'!$E$4:$E$211,T86)),T86))</f>
        <v>0 vs 0</v>
      </c>
      <c r="I86" s="78" t="str">
        <f t="shared" ca="1" si="16"/>
        <v>0</v>
      </c>
      <c r="J86" s="78" t="str">
        <f t="shared" ca="1" si="13"/>
        <v>0</v>
      </c>
      <c r="K86" s="78" t="str">
        <f ca="1">IF(Schedules[[#This Row],[Player 2]]="",Schedules[[#This Row],[Player 1]],Schedules[[#This Row],[Player 1]]&amp;" / "&amp;Schedules[[#This Row],[Player 2]])</f>
        <v>0 / 0</v>
      </c>
      <c r="L86" s="78">
        <v>15</v>
      </c>
      <c r="M86" s="78" t="str">
        <f t="shared" si="17"/>
        <v>WIN</v>
      </c>
      <c r="N86" s="78"/>
      <c r="O86" s="78"/>
      <c r="P86" s="78">
        <f>IF(Schedules[[#This Row],[Player 4]]="",Schedules[[#This Row],[Player 3]],Schedules[[#This Row],[Player 3]]&amp;" / "&amp;Schedules[[#This Row],[Player 4]])</f>
        <v>0</v>
      </c>
      <c r="Q86" s="78">
        <v>10</v>
      </c>
      <c r="R86" s="78" t="str">
        <f t="shared" si="18"/>
        <v>LOST</v>
      </c>
      <c r="S86" s="61">
        <f>Input!B26</f>
        <v>0</v>
      </c>
      <c r="T86" s="61">
        <f>Input!E26</f>
        <v>0</v>
      </c>
    </row>
    <row r="87" spans="1:20" hidden="1" x14ac:dyDescent="0.3">
      <c r="A87" s="109" t="s">
        <v>54</v>
      </c>
      <c r="B87" s="78" t="str">
        <f t="shared" si="19"/>
        <v>Adda</v>
      </c>
      <c r="C87" s="79">
        <f>D86+TIME(0,3,0)</f>
        <v>0.67013888888888873</v>
      </c>
      <c r="D87" s="79">
        <f>C87+TIME(0,10,0)</f>
        <v>0.67708333333333315</v>
      </c>
      <c r="E87" s="78" t="str">
        <f t="shared" si="20"/>
        <v>Group</v>
      </c>
      <c r="F87" s="78">
        <v>1</v>
      </c>
      <c r="G87" s="78">
        <v>1</v>
      </c>
      <c r="H87" s="78" t="str">
        <f ca="1">IF(OR(S87="",T87=""),"",IFERROR(_xludf.XLOOKUP(S87,'Registrations'!#REF!,'Registrations'!#REF!,_xludf.XLOOKUP(S87,'Registrations'!$B$4:$B$211,'Registrations'!$E$4:$E$211,S87)),S87) &amp; " vs " &amp; IFERROR(_xludf.XLOOKUP(T87,'Registrations'!#REF!,'Registrations'!#REF!,_xludf.XLOOKUP(T87,'Registrations'!$B$4:$B$211,'Registrations'!$E$4:$E$211,T87)),T87))</f>
        <v>0 vs 0</v>
      </c>
      <c r="I87" s="78" t="str">
        <f t="shared" ca="1" si="16"/>
        <v>0</v>
      </c>
      <c r="J87" s="78" t="str">
        <f t="shared" ca="1" si="13"/>
        <v>0</v>
      </c>
      <c r="K87" s="78" t="str">
        <f ca="1">IF(Schedules[[#This Row],[Player 2]]="",Schedules[[#This Row],[Player 1]],Schedules[[#This Row],[Player 1]]&amp;" / "&amp;Schedules[[#This Row],[Player 2]])</f>
        <v>0 / 0</v>
      </c>
      <c r="L87" s="78">
        <v>15</v>
      </c>
      <c r="M87" s="78" t="str">
        <f t="shared" si="17"/>
        <v>WIN</v>
      </c>
      <c r="N87" s="78"/>
      <c r="O87" s="78"/>
      <c r="P87" s="78">
        <f>IF(Schedules[[#This Row],[Player 4]]="",Schedules[[#This Row],[Player 3]],Schedules[[#This Row],[Player 3]]&amp;" / "&amp;Schedules[[#This Row],[Player 4]])</f>
        <v>0</v>
      </c>
      <c r="Q87" s="78">
        <v>10</v>
      </c>
      <c r="R87" s="78" t="str">
        <f t="shared" si="18"/>
        <v>LOST</v>
      </c>
      <c r="S87" s="61">
        <f>Input!C25</f>
        <v>0</v>
      </c>
      <c r="T87" s="61">
        <f>Input!D25</f>
        <v>0</v>
      </c>
    </row>
    <row r="88" spans="1:20" hidden="1" x14ac:dyDescent="0.3">
      <c r="A88" s="109" t="s">
        <v>54</v>
      </c>
      <c r="B88" s="78" t="str">
        <f t="shared" si="19"/>
        <v>Adda</v>
      </c>
      <c r="C88" s="79">
        <f>C87</f>
        <v>0.67013888888888873</v>
      </c>
      <c r="D88" s="79">
        <f>D87</f>
        <v>0.67708333333333315</v>
      </c>
      <c r="E88" s="78" t="str">
        <f t="shared" si="20"/>
        <v>Group</v>
      </c>
      <c r="F88" s="78">
        <v>2</v>
      </c>
      <c r="G88" s="78">
        <v>2</v>
      </c>
      <c r="H88" s="78" t="str">
        <f ca="1">IF(OR(S88="",T88=""),"",IFERROR(_xludf.XLOOKUP(S88,'Registrations'!#REF!,'Registrations'!#REF!,_xludf.XLOOKUP(S88,'Registrations'!$B$4:$B$211,'Registrations'!$E$4:$E$211,S88)),S88) &amp; " vs " &amp; IFERROR(_xludf.XLOOKUP(T88,'Registrations'!#REF!,'Registrations'!#REF!,_xludf.XLOOKUP(T88,'Registrations'!$B$4:$B$211,'Registrations'!$E$4:$E$211,T88)),T88))</f>
        <v>0 vs 0</v>
      </c>
      <c r="I88" s="78" t="str">
        <f t="shared" ca="1" si="16"/>
        <v>0</v>
      </c>
      <c r="J88" s="78" t="str">
        <f t="shared" ca="1" si="13"/>
        <v>0</v>
      </c>
      <c r="K88" s="78" t="str">
        <f ca="1">IF(Schedules[[#This Row],[Player 2]]="",Schedules[[#This Row],[Player 1]],Schedules[[#This Row],[Player 1]]&amp;" / "&amp;Schedules[[#This Row],[Player 2]])</f>
        <v>0 / 0</v>
      </c>
      <c r="L88" s="78">
        <v>15</v>
      </c>
      <c r="M88" s="78" t="str">
        <f t="shared" si="17"/>
        <v>WIN</v>
      </c>
      <c r="N88" s="78"/>
      <c r="O88" s="78"/>
      <c r="P88" s="78">
        <f>IF(Schedules[[#This Row],[Player 4]]="",Schedules[[#This Row],[Player 3]],Schedules[[#This Row],[Player 3]]&amp;" / "&amp;Schedules[[#This Row],[Player 4]])</f>
        <v>0</v>
      </c>
      <c r="Q88" s="78">
        <v>10</v>
      </c>
      <c r="R88" s="78" t="str">
        <f t="shared" si="18"/>
        <v>LOST</v>
      </c>
      <c r="S88" s="61">
        <f>Input!C26</f>
        <v>0</v>
      </c>
      <c r="T88" s="61">
        <f>Input!D26</f>
        <v>0</v>
      </c>
    </row>
    <row r="89" spans="1:20" hidden="1" x14ac:dyDescent="0.3">
      <c r="A89" s="110" t="s">
        <v>54</v>
      </c>
      <c r="B89" s="76" t="str">
        <f t="shared" si="19"/>
        <v>Adda</v>
      </c>
      <c r="C89" s="77">
        <f>D88+TIME(0,3,0)</f>
        <v>0.67916666666666647</v>
      </c>
      <c r="D89" s="77">
        <f>C89+TIME(0,10,0)</f>
        <v>0.68611111111111089</v>
      </c>
      <c r="E89" s="76" t="s">
        <v>432</v>
      </c>
      <c r="F89" s="76">
        <v>1</v>
      </c>
      <c r="G89" s="76" t="s">
        <v>422</v>
      </c>
      <c r="H89" s="76" t="str">
        <f ca="1">IF(OR(S89="",T89=""),"",IFERROR(_xludf.XLOOKUP(S89,'Registrations'!#REF!,'Registrations'!#REF!,_xludf.XLOOKUP(S89,'Registrations'!$B$4:$B$211,'Registrations'!$E$4:$E$211,S89)),S89) &amp; " vs " &amp; IFERROR(_xludf.XLOOKUP(T89,'Registrations'!#REF!,'Registrations'!#REF!,_xludf.XLOOKUP(T89,'Registrations'!$B$4:$B$211,'Registrations'!$E$4:$E$211,T89)),T89))</f>
        <v>0 vs 0</v>
      </c>
      <c r="I89" s="76" t="str">
        <f t="shared" ca="1" si="16"/>
        <v>0</v>
      </c>
      <c r="J89" s="76" t="str">
        <f t="shared" ca="1" si="13"/>
        <v>0</v>
      </c>
      <c r="K89" s="76" t="str">
        <f ca="1">IF(Schedules[[#This Row],[Player 2]]="",Schedules[[#This Row],[Player 1]],Schedules[[#This Row],[Player 1]]&amp;" / "&amp;Schedules[[#This Row],[Player 2]])</f>
        <v>0 / 0</v>
      </c>
      <c r="L89" s="76">
        <v>15</v>
      </c>
      <c r="M89" s="76" t="str">
        <f t="shared" si="17"/>
        <v>WIN</v>
      </c>
      <c r="N89" s="76"/>
      <c r="O89" s="76"/>
      <c r="P89" s="76">
        <f>IF(Schedules[[#This Row],[Player 4]]="",Schedules[[#This Row],[Player 3]],Schedules[[#This Row],[Player 3]]&amp;" / "&amp;Schedules[[#This Row],[Player 4]])</f>
        <v>0</v>
      </c>
      <c r="Q89" s="76">
        <v>10</v>
      </c>
      <c r="R89" s="76" t="str">
        <f t="shared" si="18"/>
        <v>LOST</v>
      </c>
      <c r="S89" s="105">
        <f>Input!H25</f>
        <v>0</v>
      </c>
      <c r="T89" s="105">
        <f>Input!I25</f>
        <v>0</v>
      </c>
    </row>
    <row r="90" spans="1:20" hidden="1" x14ac:dyDescent="0.3">
      <c r="A90" s="110" t="s">
        <v>54</v>
      </c>
      <c r="B90" s="76" t="str">
        <f t="shared" si="19"/>
        <v>Adda</v>
      </c>
      <c r="C90" s="77">
        <f>C89</f>
        <v>0.67916666666666647</v>
      </c>
      <c r="D90" s="77">
        <f>D89</f>
        <v>0.68611111111111089</v>
      </c>
      <c r="E90" s="76" t="str">
        <f>E89</f>
        <v>Pre-Q</v>
      </c>
      <c r="F90" s="76">
        <v>2</v>
      </c>
      <c r="G90" s="76" t="str">
        <f>G89</f>
        <v>1 vs 2</v>
      </c>
      <c r="H90" s="76" t="str">
        <f ca="1">IF(OR(S90="",T90=""),"",IFERROR(_xludf.XLOOKUP(S90,'Registrations'!#REF!,'Registrations'!#REF!,_xludf.XLOOKUP(S90,'Registrations'!$B$4:$B$211,'Registrations'!$E$4:$E$211,S90)),S90) &amp; " vs " &amp; IFERROR(_xludf.XLOOKUP(T90,'Registrations'!#REF!,'Registrations'!#REF!,_xludf.XLOOKUP(T90,'Registrations'!$B$4:$B$211,'Registrations'!$E$4:$E$211,T90)),T90))</f>
        <v>0 vs 0</v>
      </c>
      <c r="I90" s="76" t="str">
        <f t="shared" ca="1" si="16"/>
        <v>0</v>
      </c>
      <c r="J90" s="76" t="str">
        <f t="shared" ca="1" si="13"/>
        <v>0</v>
      </c>
      <c r="K90" s="76" t="str">
        <f ca="1">IF(Schedules[[#This Row],[Player 2]]="",Schedules[[#This Row],[Player 1]],Schedules[[#This Row],[Player 1]]&amp;" / "&amp;Schedules[[#This Row],[Player 2]])</f>
        <v>0 / 0</v>
      </c>
      <c r="L90" s="76">
        <v>15</v>
      </c>
      <c r="M90" s="76" t="str">
        <f t="shared" si="17"/>
        <v>WIN</v>
      </c>
      <c r="N90" s="76"/>
      <c r="O90" s="76"/>
      <c r="P90" s="76">
        <f>IF(Schedules[[#This Row],[Player 4]]="",Schedules[[#This Row],[Player 3]],Schedules[[#This Row],[Player 3]]&amp;" / "&amp;Schedules[[#This Row],[Player 4]])</f>
        <v>0</v>
      </c>
      <c r="Q90" s="76">
        <v>10</v>
      </c>
      <c r="R90" s="76" t="str">
        <f t="shared" si="18"/>
        <v>LOST</v>
      </c>
      <c r="S90" s="105">
        <f>Input!H26</f>
        <v>0</v>
      </c>
      <c r="T90" s="105">
        <f>Input!I26</f>
        <v>0</v>
      </c>
    </row>
    <row r="91" spans="1:20" hidden="1" x14ac:dyDescent="0.3">
      <c r="A91" s="109" t="s">
        <v>54</v>
      </c>
      <c r="B91" s="78" t="str">
        <f t="shared" si="19"/>
        <v>Adda</v>
      </c>
      <c r="C91" s="79">
        <f>D90+TIME(0,3,0)</f>
        <v>0.68819444444444422</v>
      </c>
      <c r="D91" s="79">
        <f>C91+TIME(0,10,0)</f>
        <v>0.69513888888888864</v>
      </c>
      <c r="E91" s="78" t="s">
        <v>433</v>
      </c>
      <c r="F91" s="78">
        <v>1</v>
      </c>
      <c r="G91" s="78">
        <v>3</v>
      </c>
      <c r="H91" s="78" t="str">
        <f ca="1">IF(OR(S91="",T91=""),"",IFERROR(_xludf.XLOOKUP(S91,'Registrations'!#REF!,'Registrations'!#REF!,_xludf.XLOOKUP(S91,'Registrations'!$B$4:$B$211,'Registrations'!$E$4:$E$211,S91)),S91) &amp; " vs " &amp; IFERROR(_xludf.XLOOKUP(T91,'Registrations'!#REF!,'Registrations'!#REF!,_xludf.XLOOKUP(T91,'Registrations'!$B$4:$B$211,'Registrations'!$E$4:$E$211,T91)),T91))</f>
        <v>0 vs 0</v>
      </c>
      <c r="I91" s="78" t="str">
        <f t="shared" ca="1" si="16"/>
        <v>0</v>
      </c>
      <c r="J91" s="78" t="str">
        <f t="shared" ca="1" si="13"/>
        <v>0</v>
      </c>
      <c r="K91" s="78" t="str">
        <f ca="1">IF(Schedules[[#This Row],[Player 2]]="",Schedules[[#This Row],[Player 1]],Schedules[[#This Row],[Player 1]]&amp;" / "&amp;Schedules[[#This Row],[Player 2]])</f>
        <v>0 / 0</v>
      </c>
      <c r="L91" s="78">
        <v>15</v>
      </c>
      <c r="M91" s="78" t="str">
        <f t="shared" si="17"/>
        <v>WIN</v>
      </c>
      <c r="N91" s="78"/>
      <c r="O91" s="78"/>
      <c r="P91" s="78">
        <f>IF(Schedules[[#This Row],[Player 4]]="",Schedules[[#This Row],[Player 3]],Schedules[[#This Row],[Player 3]]&amp;" / "&amp;Schedules[[#This Row],[Player 4]])</f>
        <v>0</v>
      </c>
      <c r="Q91" s="78">
        <v>10</v>
      </c>
      <c r="R91" s="78" t="str">
        <f t="shared" si="18"/>
        <v>LOST</v>
      </c>
      <c r="S91" s="61">
        <f>Input!B27</f>
        <v>0</v>
      </c>
      <c r="T91" s="61">
        <f>Input!C27</f>
        <v>0</v>
      </c>
    </row>
    <row r="92" spans="1:20" hidden="1" x14ac:dyDescent="0.3">
      <c r="A92" s="109" t="s">
        <v>54</v>
      </c>
      <c r="B92" s="78" t="str">
        <f t="shared" si="19"/>
        <v>Adda</v>
      </c>
      <c r="C92" s="79">
        <f>C91</f>
        <v>0.68819444444444422</v>
      </c>
      <c r="D92" s="79">
        <f>D91</f>
        <v>0.69513888888888864</v>
      </c>
      <c r="E92" s="78" t="str">
        <f>E91</f>
        <v>Group</v>
      </c>
      <c r="F92" s="78">
        <v>2</v>
      </c>
      <c r="G92" s="78">
        <v>4</v>
      </c>
      <c r="H92" s="78" t="str">
        <f ca="1">IF(OR(S92="",T92=""),"",IFERROR(_xludf.XLOOKUP(S92,'Registrations'!#REF!,'Registrations'!#REF!,_xludf.XLOOKUP(S92,'Registrations'!$B$4:$B$211,'Registrations'!$E$4:$E$211,S92)),S92) &amp; " vs " &amp; IFERROR(_xludf.XLOOKUP(T92,'Registrations'!#REF!,'Registrations'!#REF!,_xludf.XLOOKUP(T92,'Registrations'!$B$4:$B$211,'Registrations'!$E$4:$E$211,T92)),T92))</f>
        <v>0 vs 0</v>
      </c>
      <c r="I92" s="78" t="str">
        <f t="shared" ca="1" si="16"/>
        <v>0</v>
      </c>
      <c r="J92" s="78" t="str">
        <f t="shared" ca="1" si="13"/>
        <v>0</v>
      </c>
      <c r="K92" s="78" t="str">
        <f ca="1">IF(Schedules[[#This Row],[Player 2]]="",Schedules[[#This Row],[Player 1]],Schedules[[#This Row],[Player 1]]&amp;" / "&amp;Schedules[[#This Row],[Player 2]])</f>
        <v>0 / 0</v>
      </c>
      <c r="L92" s="78">
        <v>15</v>
      </c>
      <c r="M92" s="78" t="str">
        <f t="shared" si="17"/>
        <v>WIN</v>
      </c>
      <c r="N92" s="78"/>
      <c r="O92" s="78"/>
      <c r="P92" s="78">
        <f>IF(Schedules[[#This Row],[Player 4]]="",Schedules[[#This Row],[Player 3]],Schedules[[#This Row],[Player 3]]&amp;" / "&amp;Schedules[[#This Row],[Player 4]])</f>
        <v>0</v>
      </c>
      <c r="Q92" s="78">
        <v>10</v>
      </c>
      <c r="R92" s="78" t="str">
        <f t="shared" si="18"/>
        <v>LOST</v>
      </c>
      <c r="S92" s="61">
        <f>Input!B28</f>
        <v>0</v>
      </c>
      <c r="T92" s="61">
        <f>Input!C28</f>
        <v>0</v>
      </c>
    </row>
    <row r="93" spans="1:20" hidden="1" x14ac:dyDescent="0.3">
      <c r="A93" s="109" t="s">
        <v>54</v>
      </c>
      <c r="B93" s="78" t="str">
        <f t="shared" si="19"/>
        <v>Adda</v>
      </c>
      <c r="C93" s="79">
        <f>D92+TIME(0,3,0)</f>
        <v>0.69722222222222197</v>
      </c>
      <c r="D93" s="79">
        <f>C93+TIME(0,10,0)</f>
        <v>0.70416666666666639</v>
      </c>
      <c r="E93" s="78" t="str">
        <f t="shared" ref="E93:E102" si="21">E92</f>
        <v>Group</v>
      </c>
      <c r="F93" s="78">
        <f t="shared" ref="F93:G102" si="22">F91</f>
        <v>1</v>
      </c>
      <c r="G93" s="78">
        <f t="shared" si="22"/>
        <v>3</v>
      </c>
      <c r="H93" s="78" t="str">
        <f ca="1">IF(OR(S93="",T93=""),"",IFERROR(_xludf.XLOOKUP(S93,'Registrations'!#REF!,'Registrations'!#REF!,_xludf.XLOOKUP(S93,'Registrations'!$B$4:$B$211,'Registrations'!$E$4:$E$211,S93)),S93) &amp; " vs " &amp; IFERROR(_xludf.XLOOKUP(T93,'Registrations'!#REF!,'Registrations'!#REF!,_xludf.XLOOKUP(T93,'Registrations'!$B$4:$B$211,'Registrations'!$E$4:$E$211,T93)),T93))</f>
        <v>0 vs 0</v>
      </c>
      <c r="I93" s="78" t="str">
        <f t="shared" ca="1" si="16"/>
        <v>0</v>
      </c>
      <c r="J93" s="78" t="str">
        <f t="shared" ca="1" si="13"/>
        <v>0</v>
      </c>
      <c r="K93" s="78" t="str">
        <f ca="1">IF(Schedules[[#This Row],[Player 2]]="",Schedules[[#This Row],[Player 1]],Schedules[[#This Row],[Player 1]]&amp;" / "&amp;Schedules[[#This Row],[Player 2]])</f>
        <v>0 / 0</v>
      </c>
      <c r="L93" s="78">
        <v>15</v>
      </c>
      <c r="M93" s="78" t="str">
        <f t="shared" si="17"/>
        <v>WIN</v>
      </c>
      <c r="N93" s="78"/>
      <c r="O93" s="78"/>
      <c r="P93" s="78">
        <f>IF(Schedules[[#This Row],[Player 4]]="",Schedules[[#This Row],[Player 3]],Schedules[[#This Row],[Player 3]]&amp;" / "&amp;Schedules[[#This Row],[Player 4]])</f>
        <v>0</v>
      </c>
      <c r="Q93" s="78">
        <v>10</v>
      </c>
      <c r="R93" s="78" t="str">
        <f t="shared" si="18"/>
        <v>LOST</v>
      </c>
      <c r="S93" s="61">
        <f>Input!D27</f>
        <v>0</v>
      </c>
      <c r="T93" s="61">
        <f>Input!E27</f>
        <v>0</v>
      </c>
    </row>
    <row r="94" spans="1:20" hidden="1" x14ac:dyDescent="0.3">
      <c r="A94" s="109" t="s">
        <v>54</v>
      </c>
      <c r="B94" s="78" t="str">
        <f t="shared" si="19"/>
        <v>Adda</v>
      </c>
      <c r="C94" s="79">
        <f>C93</f>
        <v>0.69722222222222197</v>
      </c>
      <c r="D94" s="79">
        <f>D93</f>
        <v>0.70416666666666639</v>
      </c>
      <c r="E94" s="78" t="str">
        <f t="shared" si="21"/>
        <v>Group</v>
      </c>
      <c r="F94" s="78">
        <f t="shared" si="22"/>
        <v>2</v>
      </c>
      <c r="G94" s="78">
        <f t="shared" si="22"/>
        <v>4</v>
      </c>
      <c r="H94" s="78" t="str">
        <f ca="1">IF(OR(S94="",T94=""),"",IFERROR(_xludf.XLOOKUP(S94,'Registrations'!#REF!,'Registrations'!#REF!,_xludf.XLOOKUP(S94,'Registrations'!$B$4:$B$211,'Registrations'!$E$4:$E$211,S94)),S94) &amp; " vs " &amp; IFERROR(_xludf.XLOOKUP(T94,'Registrations'!#REF!,'Registrations'!#REF!,_xludf.XLOOKUP(T94,'Registrations'!$B$4:$B$211,'Registrations'!$E$4:$E$211,T94)),T94))</f>
        <v>0 vs 0</v>
      </c>
      <c r="I94" s="78" t="str">
        <f t="shared" ca="1" si="16"/>
        <v>0</v>
      </c>
      <c r="J94" s="78" t="str">
        <f t="shared" ca="1" si="13"/>
        <v>0</v>
      </c>
      <c r="K94" s="78" t="str">
        <f ca="1">IF(Schedules[[#This Row],[Player 2]]="",Schedules[[#This Row],[Player 1]],Schedules[[#This Row],[Player 1]]&amp;" / "&amp;Schedules[[#This Row],[Player 2]])</f>
        <v>0 / 0</v>
      </c>
      <c r="L94" s="78">
        <v>15</v>
      </c>
      <c r="M94" s="78" t="str">
        <f t="shared" si="17"/>
        <v>WIN</v>
      </c>
      <c r="N94" s="78"/>
      <c r="O94" s="78"/>
      <c r="P94" s="78">
        <f>IF(Schedules[[#This Row],[Player 4]]="",Schedules[[#This Row],[Player 3]],Schedules[[#This Row],[Player 3]]&amp;" / "&amp;Schedules[[#This Row],[Player 4]])</f>
        <v>0</v>
      </c>
      <c r="Q94" s="78">
        <v>10</v>
      </c>
      <c r="R94" s="78" t="str">
        <f t="shared" si="18"/>
        <v>LOST</v>
      </c>
      <c r="S94" s="61">
        <f>Input!D28</f>
        <v>0</v>
      </c>
      <c r="T94" s="61">
        <f>Input!E28</f>
        <v>0</v>
      </c>
    </row>
    <row r="95" spans="1:20" hidden="1" x14ac:dyDescent="0.3">
      <c r="A95" s="109" t="s">
        <v>54</v>
      </c>
      <c r="B95" s="78" t="str">
        <f t="shared" si="19"/>
        <v>Adda</v>
      </c>
      <c r="C95" s="79">
        <f>D94+TIME(0,3,0)</f>
        <v>0.70624999999999971</v>
      </c>
      <c r="D95" s="79">
        <f>C95+TIME(0,10,0)</f>
        <v>0.71319444444444413</v>
      </c>
      <c r="E95" s="78" t="str">
        <f t="shared" si="21"/>
        <v>Group</v>
      </c>
      <c r="F95" s="78">
        <f t="shared" si="22"/>
        <v>1</v>
      </c>
      <c r="G95" s="78">
        <f t="shared" si="22"/>
        <v>3</v>
      </c>
      <c r="H95" s="78" t="str">
        <f ca="1">IF(OR(S95="",T95=""),"",IFERROR(_xludf.XLOOKUP(S95,'Registrations'!#REF!,'Registrations'!#REF!,_xludf.XLOOKUP(S95,'Registrations'!$B$4:$B$211,'Registrations'!$E$4:$E$211,S95)),S95) &amp; " vs " &amp; IFERROR(_xludf.XLOOKUP(T95,'Registrations'!#REF!,'Registrations'!#REF!,_xludf.XLOOKUP(T95,'Registrations'!$B$4:$B$211,'Registrations'!$E$4:$E$211,T95)),T95))</f>
        <v>0 vs 0</v>
      </c>
      <c r="I95" s="78" t="str">
        <f t="shared" ca="1" si="16"/>
        <v>0</v>
      </c>
      <c r="J95" s="78" t="str">
        <f t="shared" ca="1" si="13"/>
        <v>0</v>
      </c>
      <c r="K95" s="78" t="str">
        <f ca="1">IF(Schedules[[#This Row],[Player 2]]="",Schedules[[#This Row],[Player 1]],Schedules[[#This Row],[Player 1]]&amp;" / "&amp;Schedules[[#This Row],[Player 2]])</f>
        <v>0 / 0</v>
      </c>
      <c r="L95" s="78">
        <v>15</v>
      </c>
      <c r="M95" s="78" t="str">
        <f t="shared" si="17"/>
        <v>WIN</v>
      </c>
      <c r="N95" s="78"/>
      <c r="O95" s="78"/>
      <c r="P95" s="78">
        <f>IF(Schedules[[#This Row],[Player 4]]="",Schedules[[#This Row],[Player 3]],Schedules[[#This Row],[Player 3]]&amp;" / "&amp;Schedules[[#This Row],[Player 4]])</f>
        <v>0</v>
      </c>
      <c r="Q95" s="78">
        <v>10</v>
      </c>
      <c r="R95" s="78" t="str">
        <f t="shared" si="18"/>
        <v>LOST</v>
      </c>
      <c r="S95" s="61">
        <f>Input!B27</f>
        <v>0</v>
      </c>
      <c r="T95" s="61">
        <f>Input!D27</f>
        <v>0</v>
      </c>
    </row>
    <row r="96" spans="1:20" hidden="1" x14ac:dyDescent="0.3">
      <c r="A96" s="109" t="s">
        <v>54</v>
      </c>
      <c r="B96" s="78" t="str">
        <f t="shared" si="19"/>
        <v>Adda</v>
      </c>
      <c r="C96" s="79">
        <f>C95</f>
        <v>0.70624999999999971</v>
      </c>
      <c r="D96" s="79">
        <f>D95</f>
        <v>0.71319444444444413</v>
      </c>
      <c r="E96" s="78" t="str">
        <f t="shared" si="21"/>
        <v>Group</v>
      </c>
      <c r="F96" s="78">
        <f t="shared" si="22"/>
        <v>2</v>
      </c>
      <c r="G96" s="78">
        <f t="shared" si="22"/>
        <v>4</v>
      </c>
      <c r="H96" s="78" t="str">
        <f ca="1">IF(OR(S96="",T96=""),"",IFERROR(_xludf.XLOOKUP(S96,'Registrations'!#REF!,'Registrations'!#REF!,_xludf.XLOOKUP(S96,'Registrations'!$B$4:$B$211,'Registrations'!$E$4:$E$211,S96)),S96) &amp; " vs " &amp; IFERROR(_xludf.XLOOKUP(T96,'Registrations'!#REF!,'Registrations'!#REF!,_xludf.XLOOKUP(T96,'Registrations'!$B$4:$B$211,'Registrations'!$E$4:$E$211,T96)),T96))</f>
        <v>0 vs 0</v>
      </c>
      <c r="I96" s="78" t="str">
        <f t="shared" ca="1" si="16"/>
        <v>0</v>
      </c>
      <c r="J96" s="78" t="str">
        <f t="shared" ca="1" si="13"/>
        <v>0</v>
      </c>
      <c r="K96" s="78" t="str">
        <f ca="1">IF(Schedules[[#This Row],[Player 2]]="",Schedules[[#This Row],[Player 1]],Schedules[[#This Row],[Player 1]]&amp;" / "&amp;Schedules[[#This Row],[Player 2]])</f>
        <v>0 / 0</v>
      </c>
      <c r="L96" s="78">
        <v>15</v>
      </c>
      <c r="M96" s="78" t="str">
        <f t="shared" si="17"/>
        <v>WIN</v>
      </c>
      <c r="N96" s="78"/>
      <c r="O96" s="78"/>
      <c r="P96" s="78">
        <f>IF(Schedules[[#This Row],[Player 4]]="",Schedules[[#This Row],[Player 3]],Schedules[[#This Row],[Player 3]]&amp;" / "&amp;Schedules[[#This Row],[Player 4]])</f>
        <v>0</v>
      </c>
      <c r="Q96" s="78">
        <v>10</v>
      </c>
      <c r="R96" s="78" t="str">
        <f t="shared" si="18"/>
        <v>LOST</v>
      </c>
      <c r="S96" s="61">
        <f>Input!B28</f>
        <v>0</v>
      </c>
      <c r="T96" s="61">
        <f>Input!D28</f>
        <v>0</v>
      </c>
    </row>
    <row r="97" spans="1:20" hidden="1" x14ac:dyDescent="0.3">
      <c r="A97" s="109" t="s">
        <v>54</v>
      </c>
      <c r="B97" s="78" t="str">
        <f t="shared" si="19"/>
        <v>Adda</v>
      </c>
      <c r="C97" s="79">
        <f>D96+TIME(0,3,0)</f>
        <v>0.71527777777777746</v>
      </c>
      <c r="D97" s="79">
        <f>C97+TIME(0,10,0)</f>
        <v>0.72222222222222188</v>
      </c>
      <c r="E97" s="78" t="str">
        <f t="shared" si="21"/>
        <v>Group</v>
      </c>
      <c r="F97" s="78">
        <f t="shared" si="22"/>
        <v>1</v>
      </c>
      <c r="G97" s="78">
        <f t="shared" si="22"/>
        <v>3</v>
      </c>
      <c r="H97" s="78" t="str">
        <f ca="1">IF(OR(S97="",T97=""),"",IFERROR(_xludf.XLOOKUP(S97,'Registrations'!#REF!,'Registrations'!#REF!,_xludf.XLOOKUP(S97,'Registrations'!$B$4:$B$211,'Registrations'!$E$4:$E$211,S97)),S97) &amp; " vs " &amp; IFERROR(_xludf.XLOOKUP(T97,'Registrations'!#REF!,'Registrations'!#REF!,_xludf.XLOOKUP(T97,'Registrations'!$B$4:$B$211,'Registrations'!$E$4:$E$211,T97)),T97))</f>
        <v>0 vs 0</v>
      </c>
      <c r="I97" s="78" t="str">
        <f t="shared" ca="1" si="16"/>
        <v>0</v>
      </c>
      <c r="J97" s="78" t="str">
        <f t="shared" ca="1" si="13"/>
        <v>0</v>
      </c>
      <c r="K97" s="78" t="str">
        <f ca="1">IF(Schedules[[#This Row],[Player 2]]="",Schedules[[#This Row],[Player 1]],Schedules[[#This Row],[Player 1]]&amp;" / "&amp;Schedules[[#This Row],[Player 2]])</f>
        <v>0 / 0</v>
      </c>
      <c r="L97" s="78">
        <v>15</v>
      </c>
      <c r="M97" s="78" t="str">
        <f t="shared" si="17"/>
        <v>WIN</v>
      </c>
      <c r="N97" s="78"/>
      <c r="O97" s="78"/>
      <c r="P97" s="78">
        <f>IF(Schedules[[#This Row],[Player 4]]="",Schedules[[#This Row],[Player 3]],Schedules[[#This Row],[Player 3]]&amp;" / "&amp;Schedules[[#This Row],[Player 4]])</f>
        <v>0</v>
      </c>
      <c r="Q97" s="78">
        <v>10</v>
      </c>
      <c r="R97" s="78" t="str">
        <f t="shared" si="18"/>
        <v>LOST</v>
      </c>
      <c r="S97" s="61">
        <f>Input!C27</f>
        <v>0</v>
      </c>
      <c r="T97" s="61">
        <f>Input!E27</f>
        <v>0</v>
      </c>
    </row>
    <row r="98" spans="1:20" hidden="1" x14ac:dyDescent="0.3">
      <c r="A98" s="109" t="s">
        <v>54</v>
      </c>
      <c r="B98" s="78" t="str">
        <f t="shared" si="19"/>
        <v>Adda</v>
      </c>
      <c r="C98" s="79">
        <f>C97</f>
        <v>0.71527777777777746</v>
      </c>
      <c r="D98" s="79">
        <f>D97</f>
        <v>0.72222222222222188</v>
      </c>
      <c r="E98" s="78" t="str">
        <f t="shared" si="21"/>
        <v>Group</v>
      </c>
      <c r="F98" s="78">
        <f t="shared" si="22"/>
        <v>2</v>
      </c>
      <c r="G98" s="78">
        <f t="shared" si="22"/>
        <v>4</v>
      </c>
      <c r="H98" s="78" t="str">
        <f ca="1">IF(OR(S98="",T98=""),"",IFERROR(_xludf.XLOOKUP(S98,'Registrations'!#REF!,'Registrations'!#REF!,_xludf.XLOOKUP(S98,'Registrations'!$B$4:$B$211,'Registrations'!$E$4:$E$211,S98)),S98) &amp; " vs " &amp; IFERROR(_xludf.XLOOKUP(T98,'Registrations'!#REF!,'Registrations'!#REF!,_xludf.XLOOKUP(T98,'Registrations'!$B$4:$B$211,'Registrations'!$E$4:$E$211,T98)),T98))</f>
        <v>0 vs 0</v>
      </c>
      <c r="I98" s="78" t="str">
        <f t="shared" ca="1" si="16"/>
        <v>0</v>
      </c>
      <c r="J98" s="78" t="str">
        <f t="shared" ca="1" si="13"/>
        <v>0</v>
      </c>
      <c r="K98" s="78" t="str">
        <f ca="1">IF(Schedules[[#This Row],[Player 2]]="",Schedules[[#This Row],[Player 1]],Schedules[[#This Row],[Player 1]]&amp;" / "&amp;Schedules[[#This Row],[Player 2]])</f>
        <v>0 / 0</v>
      </c>
      <c r="L98" s="78">
        <v>15</v>
      </c>
      <c r="M98" s="78" t="str">
        <f t="shared" si="17"/>
        <v>WIN</v>
      </c>
      <c r="N98" s="78"/>
      <c r="O98" s="78"/>
      <c r="P98" s="78">
        <f>IF(Schedules[[#This Row],[Player 4]]="",Schedules[[#This Row],[Player 3]],Schedules[[#This Row],[Player 3]]&amp;" / "&amp;Schedules[[#This Row],[Player 4]])</f>
        <v>0</v>
      </c>
      <c r="Q98" s="78">
        <v>10</v>
      </c>
      <c r="R98" s="78" t="str">
        <f t="shared" si="18"/>
        <v>LOST</v>
      </c>
      <c r="S98" s="61">
        <f>Input!C28</f>
        <v>0</v>
      </c>
      <c r="T98" s="61">
        <f>Input!E28</f>
        <v>0</v>
      </c>
    </row>
    <row r="99" spans="1:20" hidden="1" x14ac:dyDescent="0.3">
      <c r="A99" s="109" t="s">
        <v>54</v>
      </c>
      <c r="B99" s="78" t="str">
        <f t="shared" si="19"/>
        <v>Adda</v>
      </c>
      <c r="C99" s="79">
        <f>D98+TIME(0,3,0)</f>
        <v>0.7243055555555552</v>
      </c>
      <c r="D99" s="79">
        <f>C99+TIME(0,10,0)</f>
        <v>0.73124999999999962</v>
      </c>
      <c r="E99" s="78" t="str">
        <f t="shared" si="21"/>
        <v>Group</v>
      </c>
      <c r="F99" s="78">
        <f t="shared" si="22"/>
        <v>1</v>
      </c>
      <c r="G99" s="78">
        <f t="shared" si="22"/>
        <v>3</v>
      </c>
      <c r="H99" s="78" t="str">
        <f ca="1">IF(OR(S99="",T99=""),"",IFERROR(_xludf.XLOOKUP(S99,'Registrations'!#REF!,'Registrations'!#REF!,_xludf.XLOOKUP(S99,'Registrations'!$B$4:$B$211,'Registrations'!$E$4:$E$211,S99)),S99) &amp; " vs " &amp; IFERROR(_xludf.XLOOKUP(T99,'Registrations'!#REF!,'Registrations'!#REF!,_xludf.XLOOKUP(T99,'Registrations'!$B$4:$B$211,'Registrations'!$E$4:$E$211,T99)),T99))</f>
        <v>0 vs 0</v>
      </c>
      <c r="I99" s="78" t="str">
        <f t="shared" ca="1" si="16"/>
        <v>0</v>
      </c>
      <c r="J99" s="78" t="str">
        <f t="shared" ca="1" si="13"/>
        <v>0</v>
      </c>
      <c r="K99" s="78" t="str">
        <f ca="1">IF(Schedules[[#This Row],[Player 2]]="",Schedules[[#This Row],[Player 1]],Schedules[[#This Row],[Player 1]]&amp;" / "&amp;Schedules[[#This Row],[Player 2]])</f>
        <v>0 / 0</v>
      </c>
      <c r="L99" s="78">
        <v>15</v>
      </c>
      <c r="M99" s="78" t="str">
        <f t="shared" si="17"/>
        <v>WIN</v>
      </c>
      <c r="N99" s="78"/>
      <c r="O99" s="78"/>
      <c r="P99" s="78">
        <f>IF(Schedules[[#This Row],[Player 4]]="",Schedules[[#This Row],[Player 3]],Schedules[[#This Row],[Player 3]]&amp;" / "&amp;Schedules[[#This Row],[Player 4]])</f>
        <v>0</v>
      </c>
      <c r="Q99" s="78">
        <v>10</v>
      </c>
      <c r="R99" s="78" t="str">
        <f t="shared" si="18"/>
        <v>LOST</v>
      </c>
      <c r="S99" s="61">
        <f>Input!B27</f>
        <v>0</v>
      </c>
      <c r="T99" s="61">
        <f>Input!E27</f>
        <v>0</v>
      </c>
    </row>
    <row r="100" spans="1:20" hidden="1" x14ac:dyDescent="0.3">
      <c r="A100" s="109" t="s">
        <v>54</v>
      </c>
      <c r="B100" s="78" t="str">
        <f t="shared" si="19"/>
        <v>Adda</v>
      </c>
      <c r="C100" s="79">
        <f>C99</f>
        <v>0.7243055555555552</v>
      </c>
      <c r="D100" s="79">
        <f>D99</f>
        <v>0.73124999999999962</v>
      </c>
      <c r="E100" s="78" t="str">
        <f t="shared" si="21"/>
        <v>Group</v>
      </c>
      <c r="F100" s="78">
        <f t="shared" si="22"/>
        <v>2</v>
      </c>
      <c r="G100" s="78">
        <f t="shared" si="22"/>
        <v>4</v>
      </c>
      <c r="H100" s="78" t="str">
        <f ca="1">IF(OR(S100="",T100=""),"",IFERROR(_xludf.XLOOKUP(S100,'Registrations'!#REF!,'Registrations'!#REF!,_xludf.XLOOKUP(S100,'Registrations'!$B$4:$B$211,'Registrations'!$E$4:$E$211,S100)),S100) &amp; " vs " &amp; IFERROR(_xludf.XLOOKUP(T100,'Registrations'!#REF!,'Registrations'!#REF!,_xludf.XLOOKUP(T100,'Registrations'!$B$4:$B$211,'Registrations'!$E$4:$E$211,T100)),T100))</f>
        <v>0 vs 0</v>
      </c>
      <c r="I100" s="78" t="str">
        <f t="shared" ca="1" si="16"/>
        <v>0</v>
      </c>
      <c r="J100" s="78" t="str">
        <f t="shared" ca="1" si="13"/>
        <v>0</v>
      </c>
      <c r="K100" s="78" t="str">
        <f ca="1">IF(Schedules[[#This Row],[Player 2]]="",Schedules[[#This Row],[Player 1]],Schedules[[#This Row],[Player 1]]&amp;" / "&amp;Schedules[[#This Row],[Player 2]])</f>
        <v>0 / 0</v>
      </c>
      <c r="L100" s="78">
        <v>15</v>
      </c>
      <c r="M100" s="78" t="str">
        <f t="shared" si="17"/>
        <v>WIN</v>
      </c>
      <c r="N100" s="78"/>
      <c r="O100" s="78"/>
      <c r="P100" s="78">
        <f>IF(Schedules[[#This Row],[Player 4]]="",Schedules[[#This Row],[Player 3]],Schedules[[#This Row],[Player 3]]&amp;" / "&amp;Schedules[[#This Row],[Player 4]])</f>
        <v>0</v>
      </c>
      <c r="Q100" s="78">
        <v>10</v>
      </c>
      <c r="R100" s="78" t="str">
        <f t="shared" si="18"/>
        <v>LOST</v>
      </c>
      <c r="S100" s="61">
        <f>Input!B28</f>
        <v>0</v>
      </c>
      <c r="T100" s="61">
        <f>Input!E28</f>
        <v>0</v>
      </c>
    </row>
    <row r="101" spans="1:20" hidden="1" x14ac:dyDescent="0.3">
      <c r="A101" s="109" t="s">
        <v>54</v>
      </c>
      <c r="B101" s="78" t="str">
        <f t="shared" si="19"/>
        <v>Adda</v>
      </c>
      <c r="C101" s="79">
        <f>D100+TIME(0,3,0)</f>
        <v>0.73333333333333295</v>
      </c>
      <c r="D101" s="79">
        <f>C101+TIME(0,10,0)</f>
        <v>0.74027777777777737</v>
      </c>
      <c r="E101" s="78" t="str">
        <f t="shared" si="21"/>
        <v>Group</v>
      </c>
      <c r="F101" s="78">
        <f t="shared" si="22"/>
        <v>1</v>
      </c>
      <c r="G101" s="78">
        <f t="shared" si="22"/>
        <v>3</v>
      </c>
      <c r="H101" s="78" t="str">
        <f ca="1">IF(OR(S101="",T101=""),"",IFERROR(_xludf.XLOOKUP(S101,'Registrations'!#REF!,'Registrations'!#REF!,_xludf.XLOOKUP(S101,'Registrations'!$B$4:$B$211,'Registrations'!$E$4:$E$211,S101)),S101) &amp; " vs " &amp; IFERROR(_xludf.XLOOKUP(T101,'Registrations'!#REF!,'Registrations'!#REF!,_xludf.XLOOKUP(T101,'Registrations'!$B$4:$B$211,'Registrations'!$E$4:$E$211,T101)),T101))</f>
        <v>0 vs 0</v>
      </c>
      <c r="I101" s="78" t="str">
        <f t="shared" ca="1" si="16"/>
        <v>0</v>
      </c>
      <c r="J101" s="78" t="str">
        <f t="shared" ca="1" si="13"/>
        <v>0</v>
      </c>
      <c r="K101" s="78" t="str">
        <f ca="1">IF(Schedules[[#This Row],[Player 2]]="",Schedules[[#This Row],[Player 1]],Schedules[[#This Row],[Player 1]]&amp;" / "&amp;Schedules[[#This Row],[Player 2]])</f>
        <v>0 / 0</v>
      </c>
      <c r="L101" s="78">
        <v>15</v>
      </c>
      <c r="M101" s="78" t="str">
        <f t="shared" si="17"/>
        <v>WIN</v>
      </c>
      <c r="N101" s="78"/>
      <c r="O101" s="78"/>
      <c r="P101" s="78">
        <f>IF(Schedules[[#This Row],[Player 4]]="",Schedules[[#This Row],[Player 3]],Schedules[[#This Row],[Player 3]]&amp;" / "&amp;Schedules[[#This Row],[Player 4]])</f>
        <v>0</v>
      </c>
      <c r="Q101" s="78">
        <v>10</v>
      </c>
      <c r="R101" s="78" t="str">
        <f t="shared" si="18"/>
        <v>LOST</v>
      </c>
      <c r="S101" s="61">
        <f>Input!C27</f>
        <v>0</v>
      </c>
      <c r="T101" s="61">
        <f>Input!D27</f>
        <v>0</v>
      </c>
    </row>
    <row r="102" spans="1:20" hidden="1" x14ac:dyDescent="0.3">
      <c r="A102" s="109" t="s">
        <v>54</v>
      </c>
      <c r="B102" s="78" t="str">
        <f t="shared" si="19"/>
        <v>Adda</v>
      </c>
      <c r="C102" s="79">
        <f>C101</f>
        <v>0.73333333333333295</v>
      </c>
      <c r="D102" s="79">
        <f>D101</f>
        <v>0.74027777777777737</v>
      </c>
      <c r="E102" s="78" t="str">
        <f t="shared" si="21"/>
        <v>Group</v>
      </c>
      <c r="F102" s="78">
        <f t="shared" si="22"/>
        <v>2</v>
      </c>
      <c r="G102" s="78">
        <f t="shared" si="22"/>
        <v>4</v>
      </c>
      <c r="H102" s="78" t="str">
        <f ca="1">IF(OR(S102="",T102=""),"",IFERROR(_xludf.XLOOKUP(S102,'Registrations'!#REF!,'Registrations'!#REF!,_xludf.XLOOKUP(S102,'Registrations'!$B$4:$B$211,'Registrations'!$E$4:$E$211,S102)),S102) &amp; " vs " &amp; IFERROR(_xludf.XLOOKUP(T102,'Registrations'!#REF!,'Registrations'!#REF!,_xludf.XLOOKUP(T102,'Registrations'!$B$4:$B$211,'Registrations'!$E$4:$E$211,T102)),T102))</f>
        <v>0 vs 0</v>
      </c>
      <c r="I102" s="78" t="str">
        <f t="shared" ca="1" si="16"/>
        <v>0</v>
      </c>
      <c r="J102" s="78" t="str">
        <f t="shared" ca="1" si="13"/>
        <v>0</v>
      </c>
      <c r="K102" s="78" t="str">
        <f ca="1">IF(Schedules[[#This Row],[Player 2]]="",Schedules[[#This Row],[Player 1]],Schedules[[#This Row],[Player 1]]&amp;" / "&amp;Schedules[[#This Row],[Player 2]])</f>
        <v>0 / 0</v>
      </c>
      <c r="L102" s="78">
        <v>15</v>
      </c>
      <c r="M102" s="78" t="str">
        <f t="shared" si="17"/>
        <v>WIN</v>
      </c>
      <c r="N102" s="78"/>
      <c r="O102" s="78"/>
      <c r="P102" s="78">
        <f>IF(Schedules[[#This Row],[Player 4]]="",Schedules[[#This Row],[Player 3]],Schedules[[#This Row],[Player 3]]&amp;" / "&amp;Schedules[[#This Row],[Player 4]])</f>
        <v>0</v>
      </c>
      <c r="Q102" s="78">
        <v>10</v>
      </c>
      <c r="R102" s="78" t="str">
        <f t="shared" si="18"/>
        <v>LOST</v>
      </c>
      <c r="S102" s="61">
        <f>Input!C28</f>
        <v>0</v>
      </c>
      <c r="T102" s="61">
        <f>Input!D28</f>
        <v>0</v>
      </c>
    </row>
    <row r="103" spans="1:20" hidden="1" x14ac:dyDescent="0.3">
      <c r="A103" s="110" t="s">
        <v>54</v>
      </c>
      <c r="B103" s="76" t="str">
        <f t="shared" si="19"/>
        <v>Adda</v>
      </c>
      <c r="C103" s="77">
        <f>D102+TIME(0,3,0)</f>
        <v>0.74236111111111069</v>
      </c>
      <c r="D103" s="77">
        <f>C103+TIME(0,10,0)</f>
        <v>0.74930555555555511</v>
      </c>
      <c r="E103" s="76" t="s">
        <v>432</v>
      </c>
      <c r="F103" s="76">
        <f t="shared" ref="F103:F138" si="23">F101</f>
        <v>1</v>
      </c>
      <c r="G103" s="76" t="s">
        <v>430</v>
      </c>
      <c r="H103" s="76" t="str">
        <f ca="1">IF(OR(S103="",T103=""),"",IFERROR(_xludf.XLOOKUP(S103,'Registrations'!#REF!,'Registrations'!#REF!,_xludf.XLOOKUP(S103,'Registrations'!$B$4:$B$211,'Registrations'!$E$4:$E$211,S103)),S103) &amp; " vs " &amp; IFERROR(_xludf.XLOOKUP(T103,'Registrations'!#REF!,'Registrations'!#REF!,_xludf.XLOOKUP(T103,'Registrations'!$B$4:$B$211,'Registrations'!$E$4:$E$211,T103)),T103))</f>
        <v>0 vs 0</v>
      </c>
      <c r="I103" s="76" t="str">
        <f t="shared" ca="1" si="16"/>
        <v>0</v>
      </c>
      <c r="J103" s="76" t="str">
        <f t="shared" ca="1" si="13"/>
        <v>0</v>
      </c>
      <c r="K103" s="76" t="str">
        <f ca="1">IF(Schedules[[#This Row],[Player 2]]="",Schedules[[#This Row],[Player 1]],Schedules[[#This Row],[Player 1]]&amp;" / "&amp;Schedules[[#This Row],[Player 2]])</f>
        <v>0 / 0</v>
      </c>
      <c r="L103" s="76">
        <v>15</v>
      </c>
      <c r="M103" s="76" t="str">
        <f t="shared" si="17"/>
        <v>WIN</v>
      </c>
      <c r="N103" s="76"/>
      <c r="O103" s="76"/>
      <c r="P103" s="76">
        <f>IF(Schedules[[#This Row],[Player 4]]="",Schedules[[#This Row],[Player 3]],Schedules[[#This Row],[Player 3]]&amp;" / "&amp;Schedules[[#This Row],[Player 4]])</f>
        <v>0</v>
      </c>
      <c r="Q103" s="76">
        <v>10</v>
      </c>
      <c r="R103" s="76" t="str">
        <f t="shared" si="18"/>
        <v>LOST</v>
      </c>
      <c r="S103" s="105">
        <f>Input!H27</f>
        <v>0</v>
      </c>
      <c r="T103" s="105">
        <f>Input!I27</f>
        <v>0</v>
      </c>
    </row>
    <row r="104" spans="1:20" hidden="1" x14ac:dyDescent="0.3">
      <c r="A104" s="110" t="s">
        <v>54</v>
      </c>
      <c r="B104" s="76" t="str">
        <f t="shared" si="19"/>
        <v>Adda</v>
      </c>
      <c r="C104" s="77">
        <f>C103</f>
        <v>0.74236111111111069</v>
      </c>
      <c r="D104" s="77">
        <f>D103</f>
        <v>0.74930555555555511</v>
      </c>
      <c r="E104" s="76" t="str">
        <f>E103</f>
        <v>Pre-Q</v>
      </c>
      <c r="F104" s="76">
        <f t="shared" si="23"/>
        <v>2</v>
      </c>
      <c r="G104" s="76" t="str">
        <f>G103</f>
        <v>3 vs 4</v>
      </c>
      <c r="H104" s="76" t="str">
        <f ca="1">IF(OR(S104="",T104=""),"",IFERROR(_xludf.XLOOKUP(S104,'Registrations'!#REF!,'Registrations'!#REF!,_xludf.XLOOKUP(S104,'Registrations'!$B$4:$B$211,'Registrations'!$E$4:$E$211,S104)),S104) &amp; " vs " &amp; IFERROR(_xludf.XLOOKUP(T104,'Registrations'!#REF!,'Registrations'!#REF!,_xludf.XLOOKUP(T104,'Registrations'!$B$4:$B$211,'Registrations'!$E$4:$E$211,T104)),T104))</f>
        <v>0 vs 0</v>
      </c>
      <c r="I104" s="76" t="str">
        <f t="shared" ca="1" si="16"/>
        <v>0</v>
      </c>
      <c r="J104" s="76" t="str">
        <f t="shared" ca="1" si="13"/>
        <v>0</v>
      </c>
      <c r="K104" s="76" t="str">
        <f ca="1">IF(Schedules[[#This Row],[Player 2]]="",Schedules[[#This Row],[Player 1]],Schedules[[#This Row],[Player 1]]&amp;" / "&amp;Schedules[[#This Row],[Player 2]])</f>
        <v>0 / 0</v>
      </c>
      <c r="L104" s="76">
        <v>15</v>
      </c>
      <c r="M104" s="76" t="str">
        <f t="shared" si="17"/>
        <v>WIN</v>
      </c>
      <c r="N104" s="76"/>
      <c r="O104" s="76"/>
      <c r="P104" s="76">
        <f>IF(Schedules[[#This Row],[Player 4]]="",Schedules[[#This Row],[Player 3]],Schedules[[#This Row],[Player 3]]&amp;" / "&amp;Schedules[[#This Row],[Player 4]])</f>
        <v>0</v>
      </c>
      <c r="Q104" s="76">
        <v>10</v>
      </c>
      <c r="R104" s="76" t="str">
        <f t="shared" si="18"/>
        <v>LOST</v>
      </c>
      <c r="S104" s="105">
        <f>Input!H28</f>
        <v>0</v>
      </c>
      <c r="T104" s="105">
        <f>Input!I28</f>
        <v>0</v>
      </c>
    </row>
    <row r="105" spans="1:20" hidden="1" x14ac:dyDescent="0.3">
      <c r="A105" s="109" t="s">
        <v>54</v>
      </c>
      <c r="B105" s="78" t="str">
        <f t="shared" si="19"/>
        <v>Adda</v>
      </c>
      <c r="C105" s="79">
        <f>D104+TIME(0,3,0)</f>
        <v>0.75138888888888844</v>
      </c>
      <c r="D105" s="79">
        <f>C105+TIME(0,10,0)</f>
        <v>0.75833333333333286</v>
      </c>
      <c r="E105" s="78" t="s">
        <v>433</v>
      </c>
      <c r="F105" s="78">
        <f t="shared" si="23"/>
        <v>1</v>
      </c>
      <c r="G105" s="78">
        <v>5</v>
      </c>
      <c r="H105" s="78" t="str">
        <f ca="1">IF(OR(S105="",T105=""),"",IFERROR(_xludf.XLOOKUP(S105,'Registrations'!#REF!,'Registrations'!#REF!,_xludf.XLOOKUP(S105,'Registrations'!$B$4:$B$211,'Registrations'!$E$4:$E$211,S105)),S105) &amp; " vs " &amp; IFERROR(_xludf.XLOOKUP(T105,'Registrations'!#REF!,'Registrations'!#REF!,_xludf.XLOOKUP(T105,'Registrations'!$B$4:$B$211,'Registrations'!$E$4:$E$211,T105)),T105))</f>
        <v>0 vs 0</v>
      </c>
      <c r="I105" s="78" t="str">
        <f t="shared" ca="1" si="16"/>
        <v>0</v>
      </c>
      <c r="J105" s="78" t="str">
        <f t="shared" ca="1" si="13"/>
        <v>0</v>
      </c>
      <c r="K105" s="78" t="str">
        <f ca="1">IF(Schedules[[#This Row],[Player 2]]="",Schedules[[#This Row],[Player 1]],Schedules[[#This Row],[Player 1]]&amp;" / "&amp;Schedules[[#This Row],[Player 2]])</f>
        <v>0 / 0</v>
      </c>
      <c r="L105" s="78">
        <v>15</v>
      </c>
      <c r="M105" s="78" t="str">
        <f t="shared" si="17"/>
        <v>WIN</v>
      </c>
      <c r="N105" s="78"/>
      <c r="O105" s="78"/>
      <c r="P105" s="78">
        <f>IF(Schedules[[#This Row],[Player 4]]="",Schedules[[#This Row],[Player 3]],Schedules[[#This Row],[Player 3]]&amp;" / "&amp;Schedules[[#This Row],[Player 4]])</f>
        <v>0</v>
      </c>
      <c r="Q105" s="78">
        <v>10</v>
      </c>
      <c r="R105" s="78" t="str">
        <f t="shared" si="18"/>
        <v>LOST</v>
      </c>
      <c r="S105" s="61">
        <f>Input!B29</f>
        <v>0</v>
      </c>
      <c r="T105" s="61">
        <f>Input!C29</f>
        <v>0</v>
      </c>
    </row>
    <row r="106" spans="1:20" hidden="1" x14ac:dyDescent="0.3">
      <c r="A106" s="109" t="s">
        <v>54</v>
      </c>
      <c r="B106" s="78" t="str">
        <f t="shared" si="19"/>
        <v>Adda</v>
      </c>
      <c r="C106" s="79">
        <f>C105</f>
        <v>0.75138888888888844</v>
      </c>
      <c r="D106" s="79">
        <f>D105</f>
        <v>0.75833333333333286</v>
      </c>
      <c r="E106" s="78" t="str">
        <f>E105</f>
        <v>Group</v>
      </c>
      <c r="F106" s="78">
        <f t="shared" si="23"/>
        <v>2</v>
      </c>
      <c r="G106" s="78">
        <v>6</v>
      </c>
      <c r="H106" s="78" t="str">
        <f ca="1">IF(OR(S106="",T106=""),"",IFERROR(_xludf.XLOOKUP(S106,'Registrations'!#REF!,'Registrations'!#REF!,_xludf.XLOOKUP(S106,'Registrations'!$B$4:$B$211,'Registrations'!$E$4:$E$211,S106)),S106) &amp; " vs " &amp; IFERROR(_xludf.XLOOKUP(T106,'Registrations'!#REF!,'Registrations'!#REF!,_xludf.XLOOKUP(T106,'Registrations'!$B$4:$B$211,'Registrations'!$E$4:$E$211,T106)),T106))</f>
        <v>0 vs 0</v>
      </c>
      <c r="I106" s="78" t="str">
        <f t="shared" ca="1" si="16"/>
        <v>0</v>
      </c>
      <c r="J106" s="78" t="str">
        <f t="shared" ca="1" si="13"/>
        <v>0</v>
      </c>
      <c r="K106" s="78" t="str">
        <f ca="1">IF(Schedules[[#This Row],[Player 2]]="",Schedules[[#This Row],[Player 1]],Schedules[[#This Row],[Player 1]]&amp;" / "&amp;Schedules[[#This Row],[Player 2]])</f>
        <v>0 / 0</v>
      </c>
      <c r="L106" s="78">
        <v>15</v>
      </c>
      <c r="M106" s="78" t="str">
        <f t="shared" si="17"/>
        <v>WIN</v>
      </c>
      <c r="N106" s="78"/>
      <c r="O106" s="78"/>
      <c r="P106" s="78">
        <f>IF(Schedules[[#This Row],[Player 4]]="",Schedules[[#This Row],[Player 3]],Schedules[[#This Row],[Player 3]]&amp;" / "&amp;Schedules[[#This Row],[Player 4]])</f>
        <v>0</v>
      </c>
      <c r="Q106" s="78">
        <v>10</v>
      </c>
      <c r="R106" s="78" t="str">
        <f t="shared" si="18"/>
        <v>LOST</v>
      </c>
      <c r="S106" s="61">
        <f>Input!B30</f>
        <v>0</v>
      </c>
      <c r="T106" s="61">
        <f>Input!C30</f>
        <v>0</v>
      </c>
    </row>
    <row r="107" spans="1:20" hidden="1" x14ac:dyDescent="0.3">
      <c r="A107" s="109" t="s">
        <v>54</v>
      </c>
      <c r="B107" s="78" t="str">
        <f t="shared" si="19"/>
        <v>Adda</v>
      </c>
      <c r="C107" s="79">
        <f>D106+TIME(0,3,0)</f>
        <v>0.76041666666666619</v>
      </c>
      <c r="D107" s="79">
        <f>C107+TIME(0,10,0)</f>
        <v>0.76736111111111061</v>
      </c>
      <c r="E107" s="78" t="str">
        <f t="shared" ref="E107:E116" si="24">E106</f>
        <v>Group</v>
      </c>
      <c r="F107" s="78">
        <f t="shared" si="23"/>
        <v>1</v>
      </c>
      <c r="G107" s="78">
        <f t="shared" ref="G107:G116" si="25">G105</f>
        <v>5</v>
      </c>
      <c r="H107" s="78" t="str">
        <f ca="1">IF(OR(S107="",T107=""),"",IFERROR(_xludf.XLOOKUP(S107,'Registrations'!#REF!,'Registrations'!#REF!,_xludf.XLOOKUP(S107,'Registrations'!$B$4:$B$211,'Registrations'!$E$4:$E$211,S107)),S107) &amp; " vs " &amp; IFERROR(_xludf.XLOOKUP(T107,'Registrations'!#REF!,'Registrations'!#REF!,_xludf.XLOOKUP(T107,'Registrations'!$B$4:$B$211,'Registrations'!$E$4:$E$211,T107)),T107))</f>
        <v>0 vs 0</v>
      </c>
      <c r="I107" s="78" t="str">
        <f t="shared" ca="1" si="16"/>
        <v>0</v>
      </c>
      <c r="J107" s="78" t="str">
        <f t="shared" ca="1" si="13"/>
        <v>0</v>
      </c>
      <c r="K107" s="78" t="str">
        <f ca="1">IF(Schedules[[#This Row],[Player 2]]="",Schedules[[#This Row],[Player 1]],Schedules[[#This Row],[Player 1]]&amp;" / "&amp;Schedules[[#This Row],[Player 2]])</f>
        <v>0 / 0</v>
      </c>
      <c r="L107" s="78">
        <v>15</v>
      </c>
      <c r="M107" s="78" t="str">
        <f t="shared" si="17"/>
        <v>WIN</v>
      </c>
      <c r="N107" s="78"/>
      <c r="O107" s="78"/>
      <c r="P107" s="78">
        <f>IF(Schedules[[#This Row],[Player 4]]="",Schedules[[#This Row],[Player 3]],Schedules[[#This Row],[Player 3]]&amp;" / "&amp;Schedules[[#This Row],[Player 4]])</f>
        <v>0</v>
      </c>
      <c r="Q107" s="78">
        <v>10</v>
      </c>
      <c r="R107" s="78" t="str">
        <f t="shared" si="18"/>
        <v>LOST</v>
      </c>
      <c r="S107" s="61">
        <f>Input!D29</f>
        <v>0</v>
      </c>
      <c r="T107" s="61">
        <f>Input!E29</f>
        <v>0</v>
      </c>
    </row>
    <row r="108" spans="1:20" hidden="1" x14ac:dyDescent="0.3">
      <c r="A108" s="109" t="s">
        <v>54</v>
      </c>
      <c r="B108" s="78" t="str">
        <f t="shared" si="19"/>
        <v>Adda</v>
      </c>
      <c r="C108" s="79">
        <f>C107</f>
        <v>0.76041666666666619</v>
      </c>
      <c r="D108" s="79">
        <f>D107</f>
        <v>0.76736111111111061</v>
      </c>
      <c r="E108" s="78" t="str">
        <f t="shared" si="24"/>
        <v>Group</v>
      </c>
      <c r="F108" s="78">
        <f t="shared" si="23"/>
        <v>2</v>
      </c>
      <c r="G108" s="78">
        <f t="shared" si="25"/>
        <v>6</v>
      </c>
      <c r="H108" s="78" t="str">
        <f ca="1">IF(OR(S108="",T108=""),"",IFERROR(_xludf.XLOOKUP(S108,'Registrations'!#REF!,'Registrations'!#REF!,_xludf.XLOOKUP(S108,'Registrations'!$B$4:$B$211,'Registrations'!$E$4:$E$211,S108)),S108) &amp; " vs " &amp; IFERROR(_xludf.XLOOKUP(T108,'Registrations'!#REF!,'Registrations'!#REF!,_xludf.XLOOKUP(T108,'Registrations'!$B$4:$B$211,'Registrations'!$E$4:$E$211,T108)),T108))</f>
        <v>0 vs 0</v>
      </c>
      <c r="I108" s="78" t="str">
        <f t="shared" ca="1" si="16"/>
        <v>0</v>
      </c>
      <c r="J108" s="78" t="str">
        <f t="shared" ca="1" si="13"/>
        <v>0</v>
      </c>
      <c r="K108" s="78" t="str">
        <f ca="1">IF(Schedules[[#This Row],[Player 2]]="",Schedules[[#This Row],[Player 1]],Schedules[[#This Row],[Player 1]]&amp;" / "&amp;Schedules[[#This Row],[Player 2]])</f>
        <v>0 / 0</v>
      </c>
      <c r="L108" s="78">
        <v>15</v>
      </c>
      <c r="M108" s="78" t="str">
        <f t="shared" si="17"/>
        <v>WIN</v>
      </c>
      <c r="N108" s="78"/>
      <c r="O108" s="78"/>
      <c r="P108" s="78">
        <f>IF(Schedules[[#This Row],[Player 4]]="",Schedules[[#This Row],[Player 3]],Schedules[[#This Row],[Player 3]]&amp;" / "&amp;Schedules[[#This Row],[Player 4]])</f>
        <v>0</v>
      </c>
      <c r="Q108" s="78">
        <v>10</v>
      </c>
      <c r="R108" s="78" t="str">
        <f t="shared" si="18"/>
        <v>LOST</v>
      </c>
      <c r="S108" s="61">
        <f>Input!D30</f>
        <v>0</v>
      </c>
      <c r="T108" s="61">
        <f>Input!E30</f>
        <v>0</v>
      </c>
    </row>
    <row r="109" spans="1:20" hidden="1" x14ac:dyDescent="0.3">
      <c r="A109" s="109" t="s">
        <v>54</v>
      </c>
      <c r="B109" s="78" t="str">
        <f t="shared" si="19"/>
        <v>Adda</v>
      </c>
      <c r="C109" s="79">
        <f>D108+TIME(0,3,0)</f>
        <v>0.76944444444444393</v>
      </c>
      <c r="D109" s="79">
        <f>C109+TIME(0,10,0)</f>
        <v>0.77638888888888835</v>
      </c>
      <c r="E109" s="78" t="str">
        <f t="shared" si="24"/>
        <v>Group</v>
      </c>
      <c r="F109" s="78">
        <f t="shared" si="23"/>
        <v>1</v>
      </c>
      <c r="G109" s="78">
        <f t="shared" si="25"/>
        <v>5</v>
      </c>
      <c r="H109" s="78" t="str">
        <f ca="1">IF(OR(S109="",T109=""),"",IFERROR(_xludf.XLOOKUP(S109,'Registrations'!#REF!,'Registrations'!#REF!,_xludf.XLOOKUP(S109,'Registrations'!$B$4:$B$211,'Registrations'!$E$4:$E$211,S109)),S109) &amp; " vs " &amp; IFERROR(_xludf.XLOOKUP(T109,'Registrations'!#REF!,'Registrations'!#REF!,_xludf.XLOOKUP(T109,'Registrations'!$B$4:$B$211,'Registrations'!$E$4:$E$211,T109)),T109))</f>
        <v>0 vs 0</v>
      </c>
      <c r="I109" s="78" t="str">
        <f t="shared" ca="1" si="16"/>
        <v>0</v>
      </c>
      <c r="J109" s="78" t="str">
        <f t="shared" ca="1" si="13"/>
        <v>0</v>
      </c>
      <c r="K109" s="78" t="str">
        <f ca="1">IF(Schedules[[#This Row],[Player 2]]="",Schedules[[#This Row],[Player 1]],Schedules[[#This Row],[Player 1]]&amp;" / "&amp;Schedules[[#This Row],[Player 2]])</f>
        <v>0 / 0</v>
      </c>
      <c r="L109" s="78">
        <v>15</v>
      </c>
      <c r="M109" s="78" t="str">
        <f t="shared" si="17"/>
        <v>WIN</v>
      </c>
      <c r="N109" s="78"/>
      <c r="O109" s="78"/>
      <c r="P109" s="78">
        <f>IF(Schedules[[#This Row],[Player 4]]="",Schedules[[#This Row],[Player 3]],Schedules[[#This Row],[Player 3]]&amp;" / "&amp;Schedules[[#This Row],[Player 4]])</f>
        <v>0</v>
      </c>
      <c r="Q109" s="78">
        <v>10</v>
      </c>
      <c r="R109" s="78" t="str">
        <f t="shared" si="18"/>
        <v>LOST</v>
      </c>
      <c r="S109" s="61">
        <f>Input!B29</f>
        <v>0</v>
      </c>
      <c r="T109" s="61">
        <f>Input!D29</f>
        <v>0</v>
      </c>
    </row>
    <row r="110" spans="1:20" hidden="1" x14ac:dyDescent="0.3">
      <c r="A110" s="109" t="s">
        <v>54</v>
      </c>
      <c r="B110" s="78" t="str">
        <f t="shared" si="19"/>
        <v>Adda</v>
      </c>
      <c r="C110" s="79">
        <f>C109</f>
        <v>0.76944444444444393</v>
      </c>
      <c r="D110" s="79">
        <f>D109</f>
        <v>0.77638888888888835</v>
      </c>
      <c r="E110" s="78" t="str">
        <f t="shared" si="24"/>
        <v>Group</v>
      </c>
      <c r="F110" s="78">
        <f t="shared" si="23"/>
        <v>2</v>
      </c>
      <c r="G110" s="78">
        <f t="shared" si="25"/>
        <v>6</v>
      </c>
      <c r="H110" s="78" t="str">
        <f ca="1">IF(OR(S110="",T110=""),"",IFERROR(_xludf.XLOOKUP(S110,'Registrations'!#REF!,'Registrations'!#REF!,_xludf.XLOOKUP(S110,'Registrations'!$B$4:$B$211,'Registrations'!$E$4:$E$211,S110)),S110) &amp; " vs " &amp; IFERROR(_xludf.XLOOKUP(T110,'Registrations'!#REF!,'Registrations'!#REF!,_xludf.XLOOKUP(T110,'Registrations'!$B$4:$B$211,'Registrations'!$E$4:$E$211,T110)),T110))</f>
        <v>0 vs 0</v>
      </c>
      <c r="I110" s="78" t="str">
        <f t="shared" ca="1" si="16"/>
        <v>0</v>
      </c>
      <c r="J110" s="78" t="str">
        <f t="shared" ca="1" si="13"/>
        <v>0</v>
      </c>
      <c r="K110" s="78" t="str">
        <f ca="1">IF(Schedules[[#This Row],[Player 2]]="",Schedules[[#This Row],[Player 1]],Schedules[[#This Row],[Player 1]]&amp;" / "&amp;Schedules[[#This Row],[Player 2]])</f>
        <v>0 / 0</v>
      </c>
      <c r="L110" s="78">
        <v>15</v>
      </c>
      <c r="M110" s="78" t="str">
        <f t="shared" si="17"/>
        <v>WIN</v>
      </c>
      <c r="N110" s="78"/>
      <c r="O110" s="78"/>
      <c r="P110" s="78">
        <f>IF(Schedules[[#This Row],[Player 4]]="",Schedules[[#This Row],[Player 3]],Schedules[[#This Row],[Player 3]]&amp;" / "&amp;Schedules[[#This Row],[Player 4]])</f>
        <v>0</v>
      </c>
      <c r="Q110" s="78">
        <v>10</v>
      </c>
      <c r="R110" s="78" t="str">
        <f t="shared" si="18"/>
        <v>LOST</v>
      </c>
      <c r="S110" s="61">
        <f>Input!B30</f>
        <v>0</v>
      </c>
      <c r="T110" s="61">
        <f>Input!D30</f>
        <v>0</v>
      </c>
    </row>
    <row r="111" spans="1:20" hidden="1" x14ac:dyDescent="0.3">
      <c r="A111" s="109" t="s">
        <v>54</v>
      </c>
      <c r="B111" s="78" t="str">
        <f t="shared" si="19"/>
        <v>Adda</v>
      </c>
      <c r="C111" s="79">
        <f>D110+TIME(0,3,0)</f>
        <v>0.77847222222222168</v>
      </c>
      <c r="D111" s="79">
        <f>C111+TIME(0,10,0)</f>
        <v>0.7854166666666661</v>
      </c>
      <c r="E111" s="78" t="str">
        <f t="shared" si="24"/>
        <v>Group</v>
      </c>
      <c r="F111" s="78">
        <f t="shared" si="23"/>
        <v>1</v>
      </c>
      <c r="G111" s="78">
        <f t="shared" si="25"/>
        <v>5</v>
      </c>
      <c r="H111" s="78" t="str">
        <f ca="1">IF(OR(S111="",T111=""),"",IFERROR(_xludf.XLOOKUP(S111,'Registrations'!#REF!,'Registrations'!#REF!,_xludf.XLOOKUP(S111,'Registrations'!$B$4:$B$211,'Registrations'!$E$4:$E$211,S111)),S111) &amp; " vs " &amp; IFERROR(_xludf.XLOOKUP(T111,'Registrations'!#REF!,'Registrations'!#REF!,_xludf.XLOOKUP(T111,'Registrations'!$B$4:$B$211,'Registrations'!$E$4:$E$211,T111)),T111))</f>
        <v>0 vs 0</v>
      </c>
      <c r="I111" s="78" t="str">
        <f t="shared" ca="1" si="16"/>
        <v>0</v>
      </c>
      <c r="J111" s="78" t="str">
        <f t="shared" ca="1" si="13"/>
        <v>0</v>
      </c>
      <c r="K111" s="78" t="str">
        <f ca="1">IF(Schedules[[#This Row],[Player 2]]="",Schedules[[#This Row],[Player 1]],Schedules[[#This Row],[Player 1]]&amp;" / "&amp;Schedules[[#This Row],[Player 2]])</f>
        <v>0 / 0</v>
      </c>
      <c r="L111" s="78">
        <v>15</v>
      </c>
      <c r="M111" s="78" t="str">
        <f t="shared" si="17"/>
        <v>WIN</v>
      </c>
      <c r="N111" s="78"/>
      <c r="O111" s="78"/>
      <c r="P111" s="78">
        <f>IF(Schedules[[#This Row],[Player 4]]="",Schedules[[#This Row],[Player 3]],Schedules[[#This Row],[Player 3]]&amp;" / "&amp;Schedules[[#This Row],[Player 4]])</f>
        <v>0</v>
      </c>
      <c r="Q111" s="78">
        <v>10</v>
      </c>
      <c r="R111" s="78" t="str">
        <f t="shared" si="18"/>
        <v>LOST</v>
      </c>
      <c r="S111" s="61">
        <f>Input!C29</f>
        <v>0</v>
      </c>
      <c r="T111" s="61">
        <f>Input!E29</f>
        <v>0</v>
      </c>
    </row>
    <row r="112" spans="1:20" hidden="1" x14ac:dyDescent="0.3">
      <c r="A112" s="109" t="s">
        <v>54</v>
      </c>
      <c r="B112" s="78" t="str">
        <f t="shared" si="19"/>
        <v>Adda</v>
      </c>
      <c r="C112" s="79">
        <f>C111</f>
        <v>0.77847222222222168</v>
      </c>
      <c r="D112" s="79">
        <f>D111</f>
        <v>0.7854166666666661</v>
      </c>
      <c r="E112" s="78" t="str">
        <f t="shared" si="24"/>
        <v>Group</v>
      </c>
      <c r="F112" s="78">
        <f t="shared" si="23"/>
        <v>2</v>
      </c>
      <c r="G112" s="78">
        <f t="shared" si="25"/>
        <v>6</v>
      </c>
      <c r="H112" s="78" t="str">
        <f ca="1">IF(OR(S112="",T112=""),"",IFERROR(_xludf.XLOOKUP(S112,'Registrations'!#REF!,'Registrations'!#REF!,_xludf.XLOOKUP(S112,'Registrations'!$B$4:$B$211,'Registrations'!$E$4:$E$211,S112)),S112) &amp; " vs " &amp; IFERROR(_xludf.XLOOKUP(T112,'Registrations'!#REF!,'Registrations'!#REF!,_xludf.XLOOKUP(T112,'Registrations'!$B$4:$B$211,'Registrations'!$E$4:$E$211,T112)),T112))</f>
        <v>0 vs 0</v>
      </c>
      <c r="I112" s="78" t="str">
        <f t="shared" ca="1" si="16"/>
        <v>0</v>
      </c>
      <c r="J112" s="78" t="str">
        <f t="shared" ca="1" si="13"/>
        <v>0</v>
      </c>
      <c r="K112" s="78" t="str">
        <f ca="1">IF(Schedules[[#This Row],[Player 2]]="",Schedules[[#This Row],[Player 1]],Schedules[[#This Row],[Player 1]]&amp;" / "&amp;Schedules[[#This Row],[Player 2]])</f>
        <v>0 / 0</v>
      </c>
      <c r="L112" s="78">
        <v>15</v>
      </c>
      <c r="M112" s="78" t="str">
        <f t="shared" si="17"/>
        <v>WIN</v>
      </c>
      <c r="N112" s="78"/>
      <c r="O112" s="78"/>
      <c r="P112" s="78">
        <f>IF(Schedules[[#This Row],[Player 4]]="",Schedules[[#This Row],[Player 3]],Schedules[[#This Row],[Player 3]]&amp;" / "&amp;Schedules[[#This Row],[Player 4]])</f>
        <v>0</v>
      </c>
      <c r="Q112" s="78">
        <v>10</v>
      </c>
      <c r="R112" s="78" t="str">
        <f t="shared" si="18"/>
        <v>LOST</v>
      </c>
      <c r="S112" s="61">
        <f>Input!C30</f>
        <v>0</v>
      </c>
      <c r="T112" s="61">
        <f>Input!E30</f>
        <v>0</v>
      </c>
    </row>
    <row r="113" spans="1:20" hidden="1" x14ac:dyDescent="0.3">
      <c r="A113" s="109" t="s">
        <v>54</v>
      </c>
      <c r="B113" s="78" t="str">
        <f t="shared" si="19"/>
        <v>Adda</v>
      </c>
      <c r="C113" s="79">
        <f>D112+TIME(0,3,0)</f>
        <v>0.78749999999999942</v>
      </c>
      <c r="D113" s="79">
        <f>C113+TIME(0,10,0)</f>
        <v>0.79444444444444384</v>
      </c>
      <c r="E113" s="78" t="str">
        <f t="shared" si="24"/>
        <v>Group</v>
      </c>
      <c r="F113" s="78">
        <f t="shared" si="23"/>
        <v>1</v>
      </c>
      <c r="G113" s="78">
        <f t="shared" si="25"/>
        <v>5</v>
      </c>
      <c r="H113" s="78" t="str">
        <f ca="1">IF(OR(S113="",T113=""),"",IFERROR(_xludf.XLOOKUP(S113,'Registrations'!#REF!,'Registrations'!#REF!,_xludf.XLOOKUP(S113,'Registrations'!$B$4:$B$211,'Registrations'!$E$4:$E$211,S113)),S113) &amp; " vs " &amp; IFERROR(_xludf.XLOOKUP(T113,'Registrations'!#REF!,'Registrations'!#REF!,_xludf.XLOOKUP(T113,'Registrations'!$B$4:$B$211,'Registrations'!$E$4:$E$211,T113)),T113))</f>
        <v>0 vs 0</v>
      </c>
      <c r="I113" s="78" t="str">
        <f t="shared" ca="1" si="16"/>
        <v>0</v>
      </c>
      <c r="J113" s="78" t="str">
        <f t="shared" ca="1" si="13"/>
        <v>0</v>
      </c>
      <c r="K113" s="78" t="str">
        <f ca="1">IF(Schedules[[#This Row],[Player 2]]="",Schedules[[#This Row],[Player 1]],Schedules[[#This Row],[Player 1]]&amp;" / "&amp;Schedules[[#This Row],[Player 2]])</f>
        <v>0 / 0</v>
      </c>
      <c r="L113" s="78">
        <v>15</v>
      </c>
      <c r="M113" s="78" t="str">
        <f t="shared" si="17"/>
        <v>WIN</v>
      </c>
      <c r="N113" s="78"/>
      <c r="O113" s="78"/>
      <c r="P113" s="78">
        <f>IF(Schedules[[#This Row],[Player 4]]="",Schedules[[#This Row],[Player 3]],Schedules[[#This Row],[Player 3]]&amp;" / "&amp;Schedules[[#This Row],[Player 4]])</f>
        <v>0</v>
      </c>
      <c r="Q113" s="78">
        <v>10</v>
      </c>
      <c r="R113" s="78" t="str">
        <f t="shared" si="18"/>
        <v>LOST</v>
      </c>
      <c r="S113" s="61">
        <f>Input!B29</f>
        <v>0</v>
      </c>
      <c r="T113" s="61">
        <f>Input!E29</f>
        <v>0</v>
      </c>
    </row>
    <row r="114" spans="1:20" hidden="1" x14ac:dyDescent="0.3">
      <c r="A114" s="109" t="s">
        <v>54</v>
      </c>
      <c r="B114" s="78" t="str">
        <f t="shared" si="19"/>
        <v>Adda</v>
      </c>
      <c r="C114" s="79">
        <f>C113</f>
        <v>0.78749999999999942</v>
      </c>
      <c r="D114" s="79">
        <f>D113</f>
        <v>0.79444444444444384</v>
      </c>
      <c r="E114" s="78" t="str">
        <f t="shared" si="24"/>
        <v>Group</v>
      </c>
      <c r="F114" s="78">
        <f t="shared" si="23"/>
        <v>2</v>
      </c>
      <c r="G114" s="78">
        <f t="shared" si="25"/>
        <v>6</v>
      </c>
      <c r="H114" s="78" t="str">
        <f ca="1">IF(OR(S114="",T114=""),"",IFERROR(_xludf.XLOOKUP(S114,'Registrations'!#REF!,'Registrations'!#REF!,_xludf.XLOOKUP(S114,'Registrations'!$B$4:$B$211,'Registrations'!$E$4:$E$211,S114)),S114) &amp; " vs " &amp; IFERROR(_xludf.XLOOKUP(T114,'Registrations'!#REF!,'Registrations'!#REF!,_xludf.XLOOKUP(T114,'Registrations'!$B$4:$B$211,'Registrations'!$E$4:$E$211,T114)),T114))</f>
        <v>0 vs 0</v>
      </c>
      <c r="I114" s="78" t="str">
        <f t="shared" ca="1" si="16"/>
        <v>0</v>
      </c>
      <c r="J114" s="78" t="str">
        <f t="shared" ca="1" si="13"/>
        <v>0</v>
      </c>
      <c r="K114" s="78" t="str">
        <f ca="1">IF(Schedules[[#This Row],[Player 2]]="",Schedules[[#This Row],[Player 1]],Schedules[[#This Row],[Player 1]]&amp;" / "&amp;Schedules[[#This Row],[Player 2]])</f>
        <v>0 / 0</v>
      </c>
      <c r="L114" s="78">
        <v>15</v>
      </c>
      <c r="M114" s="78" t="str">
        <f t="shared" si="17"/>
        <v>WIN</v>
      </c>
      <c r="N114" s="78"/>
      <c r="O114" s="78"/>
      <c r="P114" s="78">
        <f>IF(Schedules[[#This Row],[Player 4]]="",Schedules[[#This Row],[Player 3]],Schedules[[#This Row],[Player 3]]&amp;" / "&amp;Schedules[[#This Row],[Player 4]])</f>
        <v>0</v>
      </c>
      <c r="Q114" s="78">
        <v>10</v>
      </c>
      <c r="R114" s="78" t="str">
        <f t="shared" si="18"/>
        <v>LOST</v>
      </c>
      <c r="S114" s="61">
        <f>Input!B30</f>
        <v>0</v>
      </c>
      <c r="T114" s="61">
        <f>Input!E30</f>
        <v>0</v>
      </c>
    </row>
    <row r="115" spans="1:20" hidden="1" x14ac:dyDescent="0.3">
      <c r="A115" s="109" t="s">
        <v>54</v>
      </c>
      <c r="B115" s="78" t="str">
        <f t="shared" si="19"/>
        <v>Adda</v>
      </c>
      <c r="C115" s="79">
        <f>D114+TIME(0,3,0)</f>
        <v>0.79652777777777717</v>
      </c>
      <c r="D115" s="79">
        <f>C115+TIME(0,10,0)</f>
        <v>0.80347222222222159</v>
      </c>
      <c r="E115" s="78" t="str">
        <f t="shared" si="24"/>
        <v>Group</v>
      </c>
      <c r="F115" s="78">
        <f t="shared" si="23"/>
        <v>1</v>
      </c>
      <c r="G115" s="78">
        <f t="shared" si="25"/>
        <v>5</v>
      </c>
      <c r="H115" s="78" t="str">
        <f ca="1">IF(OR(S115="",T115=""),"",IFERROR(_xludf.XLOOKUP(S115,'Registrations'!#REF!,'Registrations'!#REF!,_xludf.XLOOKUP(S115,'Registrations'!$B$4:$B$211,'Registrations'!$E$4:$E$211,S115)),S115) &amp; " vs " &amp; IFERROR(_xludf.XLOOKUP(T115,'Registrations'!#REF!,'Registrations'!#REF!,_xludf.XLOOKUP(T115,'Registrations'!$B$4:$B$211,'Registrations'!$E$4:$E$211,T115)),T115))</f>
        <v>0 vs 0</v>
      </c>
      <c r="I115" s="78" t="str">
        <f t="shared" ca="1" si="16"/>
        <v>0</v>
      </c>
      <c r="J115" s="78" t="str">
        <f t="shared" ca="1" si="13"/>
        <v>0</v>
      </c>
      <c r="K115" s="78" t="str">
        <f ca="1">IF(Schedules[[#This Row],[Player 2]]="",Schedules[[#This Row],[Player 1]],Schedules[[#This Row],[Player 1]]&amp;" / "&amp;Schedules[[#This Row],[Player 2]])</f>
        <v>0 / 0</v>
      </c>
      <c r="L115" s="78">
        <v>15</v>
      </c>
      <c r="M115" s="78" t="str">
        <f t="shared" si="17"/>
        <v>WIN</v>
      </c>
      <c r="N115" s="78"/>
      <c r="O115" s="78"/>
      <c r="P115" s="78">
        <f>IF(Schedules[[#This Row],[Player 4]]="",Schedules[[#This Row],[Player 3]],Schedules[[#This Row],[Player 3]]&amp;" / "&amp;Schedules[[#This Row],[Player 4]])</f>
        <v>0</v>
      </c>
      <c r="Q115" s="78">
        <v>10</v>
      </c>
      <c r="R115" s="78" t="str">
        <f t="shared" si="18"/>
        <v>LOST</v>
      </c>
      <c r="S115" s="61">
        <f>Input!C29</f>
        <v>0</v>
      </c>
      <c r="T115" s="61">
        <f>Input!D29</f>
        <v>0</v>
      </c>
    </row>
    <row r="116" spans="1:20" hidden="1" x14ac:dyDescent="0.3">
      <c r="A116" s="109" t="s">
        <v>54</v>
      </c>
      <c r="B116" s="78" t="str">
        <f t="shared" si="19"/>
        <v>Adda</v>
      </c>
      <c r="C116" s="79">
        <f>C115</f>
        <v>0.79652777777777717</v>
      </c>
      <c r="D116" s="79">
        <f>D115</f>
        <v>0.80347222222222159</v>
      </c>
      <c r="E116" s="78" t="str">
        <f t="shared" si="24"/>
        <v>Group</v>
      </c>
      <c r="F116" s="78">
        <f t="shared" si="23"/>
        <v>2</v>
      </c>
      <c r="G116" s="78">
        <f t="shared" si="25"/>
        <v>6</v>
      </c>
      <c r="H116" s="78" t="str">
        <f ca="1">IF(OR(S116="",T116=""),"",IFERROR(_xludf.XLOOKUP(S116,'Registrations'!#REF!,'Registrations'!#REF!,_xludf.XLOOKUP(S116,'Registrations'!$B$4:$B$211,'Registrations'!$E$4:$E$211,S116)),S116) &amp; " vs " &amp; IFERROR(_xludf.XLOOKUP(T116,'Registrations'!#REF!,'Registrations'!#REF!,_xludf.XLOOKUP(T116,'Registrations'!$B$4:$B$211,'Registrations'!$E$4:$E$211,T116)),T116))</f>
        <v>0 vs 0</v>
      </c>
      <c r="I116" s="78" t="str">
        <f t="shared" ca="1" si="16"/>
        <v>0</v>
      </c>
      <c r="J116" s="78" t="str">
        <f t="shared" ca="1" si="13"/>
        <v>0</v>
      </c>
      <c r="K116" s="78" t="str">
        <f ca="1">IF(Schedules[[#This Row],[Player 2]]="",Schedules[[#This Row],[Player 1]],Schedules[[#This Row],[Player 1]]&amp;" / "&amp;Schedules[[#This Row],[Player 2]])</f>
        <v>0 / 0</v>
      </c>
      <c r="L116" s="78">
        <v>15</v>
      </c>
      <c r="M116" s="78" t="str">
        <f t="shared" si="17"/>
        <v>WIN</v>
      </c>
      <c r="N116" s="78"/>
      <c r="O116" s="78"/>
      <c r="P116" s="78">
        <f>IF(Schedules[[#This Row],[Player 4]]="",Schedules[[#This Row],[Player 3]],Schedules[[#This Row],[Player 3]]&amp;" / "&amp;Schedules[[#This Row],[Player 4]])</f>
        <v>0</v>
      </c>
      <c r="Q116" s="78">
        <v>10</v>
      </c>
      <c r="R116" s="78" t="str">
        <f t="shared" si="18"/>
        <v>LOST</v>
      </c>
      <c r="S116" s="61">
        <f>Input!C30</f>
        <v>0</v>
      </c>
      <c r="T116" s="61">
        <f>Input!D30</f>
        <v>0</v>
      </c>
    </row>
    <row r="117" spans="1:20" hidden="1" x14ac:dyDescent="0.3">
      <c r="A117" s="110" t="s">
        <v>54</v>
      </c>
      <c r="B117" s="76" t="str">
        <f t="shared" si="19"/>
        <v>Adda</v>
      </c>
      <c r="C117" s="77">
        <f>D116+TIME(0,3,0)</f>
        <v>0.80555555555555491</v>
      </c>
      <c r="D117" s="77">
        <f>C117+TIME(0,10,0)</f>
        <v>0.81249999999999933</v>
      </c>
      <c r="E117" s="76" t="s">
        <v>432</v>
      </c>
      <c r="F117" s="76">
        <f t="shared" si="23"/>
        <v>1</v>
      </c>
      <c r="G117" s="76" t="s">
        <v>431</v>
      </c>
      <c r="H117" s="76" t="str">
        <f ca="1">IF(OR(S117="",T117=""),"",IFERROR(_xludf.XLOOKUP(S117,'Registrations'!#REF!,'Registrations'!#REF!,_xludf.XLOOKUP(S117,'Registrations'!$B$4:$B$211,'Registrations'!$E$4:$E$211,S117)),S117) &amp; " vs " &amp; IFERROR(_xludf.XLOOKUP(T117,'Registrations'!#REF!,'Registrations'!#REF!,_xludf.XLOOKUP(T117,'Registrations'!$B$4:$B$211,'Registrations'!$E$4:$E$211,T117)),T117))</f>
        <v>0 vs 0</v>
      </c>
      <c r="I117" s="76" t="str">
        <f t="shared" ca="1" si="16"/>
        <v>0</v>
      </c>
      <c r="J117" s="76" t="str">
        <f t="shared" ref="J117:J139" ca="1" si="26">_xlfn.TEXTAFTER(H117," vs ")</f>
        <v>0</v>
      </c>
      <c r="K117" s="76" t="str">
        <f ca="1">IF(Schedules[[#This Row],[Player 2]]="",Schedules[[#This Row],[Player 1]],Schedules[[#This Row],[Player 1]]&amp;" / "&amp;Schedules[[#This Row],[Player 2]])</f>
        <v>0 / 0</v>
      </c>
      <c r="L117" s="76">
        <v>15</v>
      </c>
      <c r="M117" s="76" t="str">
        <f t="shared" si="17"/>
        <v>WIN</v>
      </c>
      <c r="N117" s="76"/>
      <c r="O117" s="76"/>
      <c r="P117" s="76">
        <f>IF(Schedules[[#This Row],[Player 4]]="",Schedules[[#This Row],[Player 3]],Schedules[[#This Row],[Player 3]]&amp;" / "&amp;Schedules[[#This Row],[Player 4]])</f>
        <v>0</v>
      </c>
      <c r="Q117" s="76">
        <v>10</v>
      </c>
      <c r="R117" s="76" t="str">
        <f t="shared" si="18"/>
        <v>LOST</v>
      </c>
      <c r="S117" s="105">
        <f>Input!H29</f>
        <v>0</v>
      </c>
      <c r="T117" s="105">
        <f>Input!I29</f>
        <v>0</v>
      </c>
    </row>
    <row r="118" spans="1:20" hidden="1" x14ac:dyDescent="0.3">
      <c r="A118" s="110" t="s">
        <v>54</v>
      </c>
      <c r="B118" s="76" t="str">
        <f t="shared" si="19"/>
        <v>Adda</v>
      </c>
      <c r="C118" s="77">
        <f>C117</f>
        <v>0.80555555555555491</v>
      </c>
      <c r="D118" s="77">
        <f>D117</f>
        <v>0.81249999999999933</v>
      </c>
      <c r="E118" s="76" t="str">
        <f>E117</f>
        <v>Pre-Q</v>
      </c>
      <c r="F118" s="76">
        <f t="shared" si="23"/>
        <v>2</v>
      </c>
      <c r="G118" s="76" t="str">
        <f>G117</f>
        <v>5 vs 6</v>
      </c>
      <c r="H118" s="76" t="str">
        <f ca="1">IF(OR(S118="",T118=""),"",IFERROR(_xludf.XLOOKUP(S118,'Registrations'!#REF!,'Registrations'!#REF!,_xludf.XLOOKUP(S118,'Registrations'!$B$4:$B$211,'Registrations'!$E$4:$E$211,S118)),S118) &amp; " vs " &amp; IFERROR(_xludf.XLOOKUP(T118,'Registrations'!#REF!,'Registrations'!#REF!,_xludf.XLOOKUP(T118,'Registrations'!$B$4:$B$211,'Registrations'!$E$4:$E$211,T118)),T118))</f>
        <v>0 vs 0</v>
      </c>
      <c r="I118" s="76" t="str">
        <f t="shared" ca="1" si="16"/>
        <v>0</v>
      </c>
      <c r="J118" s="76" t="str">
        <f t="shared" ca="1" si="26"/>
        <v>0</v>
      </c>
      <c r="K118" s="76" t="str">
        <f ca="1">IF(Schedules[[#This Row],[Player 2]]="",Schedules[[#This Row],[Player 1]],Schedules[[#This Row],[Player 1]]&amp;" / "&amp;Schedules[[#This Row],[Player 2]])</f>
        <v>0 / 0</v>
      </c>
      <c r="L118" s="76">
        <v>15</v>
      </c>
      <c r="M118" s="76" t="str">
        <f t="shared" si="17"/>
        <v>WIN</v>
      </c>
      <c r="N118" s="76"/>
      <c r="O118" s="76"/>
      <c r="P118" s="76">
        <f>IF(Schedules[[#This Row],[Player 4]]="",Schedules[[#This Row],[Player 3]],Schedules[[#This Row],[Player 3]]&amp;" / "&amp;Schedules[[#This Row],[Player 4]])</f>
        <v>0</v>
      </c>
      <c r="Q118" s="76">
        <v>10</v>
      </c>
      <c r="R118" s="76" t="str">
        <f t="shared" si="18"/>
        <v>LOST</v>
      </c>
      <c r="S118" s="105">
        <f>Input!H30</f>
        <v>0</v>
      </c>
      <c r="T118" s="105">
        <f>Input!I30</f>
        <v>0</v>
      </c>
    </row>
    <row r="119" spans="1:20" hidden="1" x14ac:dyDescent="0.3">
      <c r="A119" s="109" t="s">
        <v>54</v>
      </c>
      <c r="B119" s="78" t="str">
        <f t="shared" si="19"/>
        <v>Adda</v>
      </c>
      <c r="C119" s="79">
        <f>D118+TIME(0,3,0)</f>
        <v>0.81458333333333266</v>
      </c>
      <c r="D119" s="79">
        <f>C119+TIME(0,10,0)</f>
        <v>0.82152777777777708</v>
      </c>
      <c r="E119" s="78" t="s">
        <v>433</v>
      </c>
      <c r="F119" s="78">
        <f t="shared" si="23"/>
        <v>1</v>
      </c>
      <c r="G119" s="78">
        <v>7</v>
      </c>
      <c r="H119" s="78" t="str">
        <f ca="1">IF(OR(S119="",T119=""),"",IFERROR(_xludf.XLOOKUP(S119,'Registrations'!#REF!,'Registrations'!#REF!,_xludf.XLOOKUP(S119,'Registrations'!$B$4:$B$211,'Registrations'!$E$4:$E$211,S119)),S119) &amp; " vs " &amp; IFERROR(_xludf.XLOOKUP(T119,'Registrations'!#REF!,'Registrations'!#REF!,_xludf.XLOOKUP(T119,'Registrations'!$B$4:$B$211,'Registrations'!$E$4:$E$211,T119)),T119))</f>
        <v>0 vs 0</v>
      </c>
      <c r="I119" s="78" t="str">
        <f t="shared" ca="1" si="16"/>
        <v>0</v>
      </c>
      <c r="J119" s="78" t="str">
        <f t="shared" ca="1" si="26"/>
        <v>0</v>
      </c>
      <c r="K119" s="78" t="str">
        <f ca="1">IF(Schedules[[#This Row],[Player 2]]="",Schedules[[#This Row],[Player 1]],Schedules[[#This Row],[Player 1]]&amp;" / "&amp;Schedules[[#This Row],[Player 2]])</f>
        <v>0 / 0</v>
      </c>
      <c r="L119" s="78">
        <v>15</v>
      </c>
      <c r="M119" s="78" t="str">
        <f t="shared" si="17"/>
        <v>WIN</v>
      </c>
      <c r="N119" s="78"/>
      <c r="O119" s="78"/>
      <c r="P119" s="78">
        <f>IF(Schedules[[#This Row],[Player 4]]="",Schedules[[#This Row],[Player 3]],Schedules[[#This Row],[Player 3]]&amp;" / "&amp;Schedules[[#This Row],[Player 4]])</f>
        <v>0</v>
      </c>
      <c r="Q119" s="78">
        <v>10</v>
      </c>
      <c r="R119" s="78" t="str">
        <f t="shared" si="18"/>
        <v>LOST</v>
      </c>
      <c r="S119" s="61">
        <f>Input!B31</f>
        <v>0</v>
      </c>
      <c r="T119" s="61">
        <f>Input!C31</f>
        <v>0</v>
      </c>
    </row>
    <row r="120" spans="1:20" hidden="1" x14ac:dyDescent="0.3">
      <c r="A120" s="109" t="s">
        <v>54</v>
      </c>
      <c r="B120" s="78" t="str">
        <f t="shared" si="19"/>
        <v>Adda</v>
      </c>
      <c r="C120" s="79">
        <f>C119</f>
        <v>0.81458333333333266</v>
      </c>
      <c r="D120" s="79">
        <f>D119</f>
        <v>0.82152777777777708</v>
      </c>
      <c r="E120" s="78" t="str">
        <f>E119</f>
        <v>Group</v>
      </c>
      <c r="F120" s="78">
        <f t="shared" si="23"/>
        <v>2</v>
      </c>
      <c r="G120" s="78">
        <v>8</v>
      </c>
      <c r="H120" s="78" t="str">
        <f ca="1">IF(OR(S120="",T120=""),"",IFERROR(_xludf.XLOOKUP(S120,'Registrations'!#REF!,'Registrations'!#REF!,_xludf.XLOOKUP(S120,'Registrations'!$B$4:$B$211,'Registrations'!$E$4:$E$211,S120)),S120) &amp; " vs " &amp; IFERROR(_xludf.XLOOKUP(T120,'Registrations'!#REF!,'Registrations'!#REF!,_xludf.XLOOKUP(T120,'Registrations'!$B$4:$B$211,'Registrations'!$E$4:$E$211,T120)),T120))</f>
        <v>0 vs 0</v>
      </c>
      <c r="I120" s="78" t="str">
        <f t="shared" ca="1" si="16"/>
        <v>0</v>
      </c>
      <c r="J120" s="78" t="str">
        <f t="shared" ca="1" si="26"/>
        <v>0</v>
      </c>
      <c r="K120" s="78" t="str">
        <f ca="1">IF(Schedules[[#This Row],[Player 2]]="",Schedules[[#This Row],[Player 1]],Schedules[[#This Row],[Player 1]]&amp;" / "&amp;Schedules[[#This Row],[Player 2]])</f>
        <v>0 / 0</v>
      </c>
      <c r="L120" s="78">
        <v>15</v>
      </c>
      <c r="M120" s="78" t="str">
        <f t="shared" si="17"/>
        <v>WIN</v>
      </c>
      <c r="N120" s="78"/>
      <c r="O120" s="78"/>
      <c r="P120" s="78">
        <f>IF(Schedules[[#This Row],[Player 4]]="",Schedules[[#This Row],[Player 3]],Schedules[[#This Row],[Player 3]]&amp;" / "&amp;Schedules[[#This Row],[Player 4]])</f>
        <v>0</v>
      </c>
      <c r="Q120" s="78">
        <v>10</v>
      </c>
      <c r="R120" s="78" t="str">
        <f t="shared" si="18"/>
        <v>LOST</v>
      </c>
      <c r="S120" s="61">
        <f>Input!B32</f>
        <v>0</v>
      </c>
      <c r="T120" s="61">
        <f>Input!C32</f>
        <v>0</v>
      </c>
    </row>
    <row r="121" spans="1:20" hidden="1" x14ac:dyDescent="0.3">
      <c r="A121" s="109" t="s">
        <v>54</v>
      </c>
      <c r="B121" s="78" t="str">
        <f t="shared" si="19"/>
        <v>Adda</v>
      </c>
      <c r="C121" s="79">
        <f>D120+TIME(0,3,0)</f>
        <v>0.82361111111111041</v>
      </c>
      <c r="D121" s="79">
        <f>C121+TIME(0,10,0)</f>
        <v>0.83055555555555483</v>
      </c>
      <c r="E121" s="78" t="str">
        <f t="shared" ref="E121:E130" si="27">E120</f>
        <v>Group</v>
      </c>
      <c r="F121" s="78">
        <f t="shared" si="23"/>
        <v>1</v>
      </c>
      <c r="G121" s="78">
        <f t="shared" ref="G121:G130" si="28">G119</f>
        <v>7</v>
      </c>
      <c r="H121" s="78" t="str">
        <f ca="1">IF(OR(S121="",T121=""),"",IFERROR(_xludf.XLOOKUP(S121,'Registrations'!#REF!,'Registrations'!#REF!,_xludf.XLOOKUP(S121,'Registrations'!$B$4:$B$211,'Registrations'!$E$4:$E$211,S121)),S121) &amp; " vs " &amp; IFERROR(_xludf.XLOOKUP(T121,'Registrations'!#REF!,'Registrations'!#REF!,_xludf.XLOOKUP(T121,'Registrations'!$B$4:$B$211,'Registrations'!$E$4:$E$211,T121)),T121))</f>
        <v>0 vs 0</v>
      </c>
      <c r="I121" s="78" t="str">
        <f t="shared" ca="1" si="16"/>
        <v>0</v>
      </c>
      <c r="J121" s="78" t="str">
        <f t="shared" ca="1" si="26"/>
        <v>0</v>
      </c>
      <c r="K121" s="78" t="str">
        <f ca="1">IF(Schedules[[#This Row],[Player 2]]="",Schedules[[#This Row],[Player 1]],Schedules[[#This Row],[Player 1]]&amp;" / "&amp;Schedules[[#This Row],[Player 2]])</f>
        <v>0 / 0</v>
      </c>
      <c r="L121" s="78">
        <v>15</v>
      </c>
      <c r="M121" s="78" t="str">
        <f t="shared" si="17"/>
        <v>WIN</v>
      </c>
      <c r="N121" s="78"/>
      <c r="O121" s="78"/>
      <c r="P121" s="78">
        <f>IF(Schedules[[#This Row],[Player 4]]="",Schedules[[#This Row],[Player 3]],Schedules[[#This Row],[Player 3]]&amp;" / "&amp;Schedules[[#This Row],[Player 4]])</f>
        <v>0</v>
      </c>
      <c r="Q121" s="78">
        <v>10</v>
      </c>
      <c r="R121" s="78" t="str">
        <f t="shared" si="18"/>
        <v>LOST</v>
      </c>
      <c r="S121" s="61">
        <f>Input!D31</f>
        <v>0</v>
      </c>
      <c r="T121" s="61">
        <f>Input!E31</f>
        <v>0</v>
      </c>
    </row>
    <row r="122" spans="1:20" hidden="1" x14ac:dyDescent="0.3">
      <c r="A122" s="109" t="s">
        <v>54</v>
      </c>
      <c r="B122" s="78" t="str">
        <f t="shared" si="19"/>
        <v>Adda</v>
      </c>
      <c r="C122" s="79">
        <f>C121</f>
        <v>0.82361111111111041</v>
      </c>
      <c r="D122" s="79">
        <f>D121</f>
        <v>0.83055555555555483</v>
      </c>
      <c r="E122" s="78" t="str">
        <f t="shared" si="27"/>
        <v>Group</v>
      </c>
      <c r="F122" s="78">
        <f t="shared" si="23"/>
        <v>2</v>
      </c>
      <c r="G122" s="78">
        <f t="shared" si="28"/>
        <v>8</v>
      </c>
      <c r="H122" s="78" t="str">
        <f ca="1">IF(OR(S122="",T122=""),"",IFERROR(_xludf.XLOOKUP(S122,'Registrations'!#REF!,'Registrations'!#REF!,_xludf.XLOOKUP(S122,'Registrations'!$B$4:$B$211,'Registrations'!$E$4:$E$211,S122)),S122) &amp; " vs " &amp; IFERROR(_xludf.XLOOKUP(T122,'Registrations'!#REF!,'Registrations'!#REF!,_xludf.XLOOKUP(T122,'Registrations'!$B$4:$B$211,'Registrations'!$E$4:$E$211,T122)),T122))</f>
        <v>0 vs 0</v>
      </c>
      <c r="I122" s="78" t="str">
        <f t="shared" ca="1" si="16"/>
        <v>0</v>
      </c>
      <c r="J122" s="78" t="str">
        <f t="shared" ca="1" si="26"/>
        <v>0</v>
      </c>
      <c r="K122" s="78" t="str">
        <f ca="1">IF(Schedules[[#This Row],[Player 2]]="",Schedules[[#This Row],[Player 1]],Schedules[[#This Row],[Player 1]]&amp;" / "&amp;Schedules[[#This Row],[Player 2]])</f>
        <v>0 / 0</v>
      </c>
      <c r="L122" s="78">
        <v>15</v>
      </c>
      <c r="M122" s="78" t="str">
        <f t="shared" si="17"/>
        <v>WIN</v>
      </c>
      <c r="N122" s="78"/>
      <c r="O122" s="78"/>
      <c r="P122" s="78">
        <f>IF(Schedules[[#This Row],[Player 4]]="",Schedules[[#This Row],[Player 3]],Schedules[[#This Row],[Player 3]]&amp;" / "&amp;Schedules[[#This Row],[Player 4]])</f>
        <v>0</v>
      </c>
      <c r="Q122" s="78">
        <v>10</v>
      </c>
      <c r="R122" s="78" t="str">
        <f t="shared" si="18"/>
        <v>LOST</v>
      </c>
      <c r="S122" s="61">
        <f>Input!D32</f>
        <v>0</v>
      </c>
      <c r="T122" s="61">
        <f>Input!E32</f>
        <v>0</v>
      </c>
    </row>
    <row r="123" spans="1:20" hidden="1" x14ac:dyDescent="0.3">
      <c r="A123" s="109" t="s">
        <v>54</v>
      </c>
      <c r="B123" s="78" t="str">
        <f t="shared" si="19"/>
        <v>Adda</v>
      </c>
      <c r="C123" s="79">
        <f>D122+TIME(0,3,0)</f>
        <v>0.83263888888888815</v>
      </c>
      <c r="D123" s="79">
        <f>C123+TIME(0,10,0)</f>
        <v>0.83958333333333257</v>
      </c>
      <c r="E123" s="78" t="str">
        <f t="shared" si="27"/>
        <v>Group</v>
      </c>
      <c r="F123" s="78">
        <f t="shared" si="23"/>
        <v>1</v>
      </c>
      <c r="G123" s="78">
        <f t="shared" si="28"/>
        <v>7</v>
      </c>
      <c r="H123" s="78" t="str">
        <f ca="1">IF(OR(S123="",T123=""),"",IFERROR(_xludf.XLOOKUP(S123,'Registrations'!#REF!,'Registrations'!#REF!,_xludf.XLOOKUP(S123,'Registrations'!$B$4:$B$211,'Registrations'!$E$4:$E$211,S123)),S123) &amp; " vs " &amp; IFERROR(_xludf.XLOOKUP(T123,'Registrations'!#REF!,'Registrations'!#REF!,_xludf.XLOOKUP(T123,'Registrations'!$B$4:$B$211,'Registrations'!$E$4:$E$211,T123)),T123))</f>
        <v>0 vs 0</v>
      </c>
      <c r="I123" s="78" t="str">
        <f t="shared" ca="1" si="16"/>
        <v>0</v>
      </c>
      <c r="J123" s="78" t="str">
        <f t="shared" ca="1" si="26"/>
        <v>0</v>
      </c>
      <c r="K123" s="78" t="str">
        <f ca="1">IF(Schedules[[#This Row],[Player 2]]="",Schedules[[#This Row],[Player 1]],Schedules[[#This Row],[Player 1]]&amp;" / "&amp;Schedules[[#This Row],[Player 2]])</f>
        <v>0 / 0</v>
      </c>
      <c r="L123" s="78">
        <v>15</v>
      </c>
      <c r="M123" s="78" t="str">
        <f t="shared" si="17"/>
        <v>WIN</v>
      </c>
      <c r="N123" s="78"/>
      <c r="O123" s="78"/>
      <c r="P123" s="78">
        <f>IF(Schedules[[#This Row],[Player 4]]="",Schedules[[#This Row],[Player 3]],Schedules[[#This Row],[Player 3]]&amp;" / "&amp;Schedules[[#This Row],[Player 4]])</f>
        <v>0</v>
      </c>
      <c r="Q123" s="78">
        <v>10</v>
      </c>
      <c r="R123" s="78" t="str">
        <f t="shared" si="18"/>
        <v>LOST</v>
      </c>
      <c r="S123" s="61">
        <f>Input!B31</f>
        <v>0</v>
      </c>
      <c r="T123" s="61">
        <f>Input!D31</f>
        <v>0</v>
      </c>
    </row>
    <row r="124" spans="1:20" hidden="1" x14ac:dyDescent="0.3">
      <c r="A124" s="109" t="s">
        <v>54</v>
      </c>
      <c r="B124" s="78" t="str">
        <f t="shared" si="19"/>
        <v>Adda</v>
      </c>
      <c r="C124" s="79">
        <f>C123</f>
        <v>0.83263888888888815</v>
      </c>
      <c r="D124" s="79">
        <f>D123</f>
        <v>0.83958333333333257</v>
      </c>
      <c r="E124" s="78" t="str">
        <f t="shared" si="27"/>
        <v>Group</v>
      </c>
      <c r="F124" s="78">
        <f t="shared" si="23"/>
        <v>2</v>
      </c>
      <c r="G124" s="78">
        <f t="shared" si="28"/>
        <v>8</v>
      </c>
      <c r="H124" s="78" t="str">
        <f ca="1">IF(OR(S124="",T124=""),"",IFERROR(_xludf.XLOOKUP(S124,'Registrations'!#REF!,'Registrations'!#REF!,_xludf.XLOOKUP(S124,'Registrations'!$B$4:$B$211,'Registrations'!$E$4:$E$211,S124)),S124) &amp; " vs " &amp; IFERROR(_xludf.XLOOKUP(T124,'Registrations'!#REF!,'Registrations'!#REF!,_xludf.XLOOKUP(T124,'Registrations'!$B$4:$B$211,'Registrations'!$E$4:$E$211,T124)),T124))</f>
        <v>0 vs 0</v>
      </c>
      <c r="I124" s="78" t="str">
        <f t="shared" ca="1" si="16"/>
        <v>0</v>
      </c>
      <c r="J124" s="78" t="str">
        <f t="shared" ca="1" si="26"/>
        <v>0</v>
      </c>
      <c r="K124" s="78" t="str">
        <f ca="1">IF(Schedules[[#This Row],[Player 2]]="",Schedules[[#This Row],[Player 1]],Schedules[[#This Row],[Player 1]]&amp;" / "&amp;Schedules[[#This Row],[Player 2]])</f>
        <v>0 / 0</v>
      </c>
      <c r="L124" s="78">
        <v>15</v>
      </c>
      <c r="M124" s="78" t="str">
        <f t="shared" si="17"/>
        <v>WIN</v>
      </c>
      <c r="N124" s="78"/>
      <c r="O124" s="78"/>
      <c r="P124" s="78">
        <f>IF(Schedules[[#This Row],[Player 4]]="",Schedules[[#This Row],[Player 3]],Schedules[[#This Row],[Player 3]]&amp;" / "&amp;Schedules[[#This Row],[Player 4]])</f>
        <v>0</v>
      </c>
      <c r="Q124" s="78">
        <v>10</v>
      </c>
      <c r="R124" s="78" t="str">
        <f t="shared" si="18"/>
        <v>LOST</v>
      </c>
      <c r="S124" s="61">
        <f>Input!B32</f>
        <v>0</v>
      </c>
      <c r="T124" s="61">
        <f>Input!D32</f>
        <v>0</v>
      </c>
    </row>
    <row r="125" spans="1:20" hidden="1" x14ac:dyDescent="0.3">
      <c r="A125" s="109" t="s">
        <v>54</v>
      </c>
      <c r="B125" s="78" t="str">
        <f t="shared" si="19"/>
        <v>Adda</v>
      </c>
      <c r="C125" s="79">
        <f>D124+TIME(0,3,0)</f>
        <v>0.8416666666666659</v>
      </c>
      <c r="D125" s="79">
        <f>C125+TIME(0,10,0)</f>
        <v>0.84861111111111032</v>
      </c>
      <c r="E125" s="78" t="str">
        <f t="shared" si="27"/>
        <v>Group</v>
      </c>
      <c r="F125" s="78">
        <f t="shared" si="23"/>
        <v>1</v>
      </c>
      <c r="G125" s="78">
        <f t="shared" si="28"/>
        <v>7</v>
      </c>
      <c r="H125" s="78" t="str">
        <f ca="1">IF(OR(S125="",T125=""),"",IFERROR(_xludf.XLOOKUP(S125,'Registrations'!#REF!,'Registrations'!#REF!,_xludf.XLOOKUP(S125,'Registrations'!$B$4:$B$211,'Registrations'!$E$4:$E$211,S125)),S125) &amp; " vs " &amp; IFERROR(_xludf.XLOOKUP(T125,'Registrations'!#REF!,'Registrations'!#REF!,_xludf.XLOOKUP(T125,'Registrations'!$B$4:$B$211,'Registrations'!$E$4:$E$211,T125)),T125))</f>
        <v>0 vs 0</v>
      </c>
      <c r="I125" s="78" t="str">
        <f t="shared" ca="1" si="16"/>
        <v>0</v>
      </c>
      <c r="J125" s="78" t="str">
        <f t="shared" ca="1" si="26"/>
        <v>0</v>
      </c>
      <c r="K125" s="78" t="str">
        <f ca="1">IF(Schedules[[#This Row],[Player 2]]="",Schedules[[#This Row],[Player 1]],Schedules[[#This Row],[Player 1]]&amp;" / "&amp;Schedules[[#This Row],[Player 2]])</f>
        <v>0 / 0</v>
      </c>
      <c r="L125" s="78">
        <v>15</v>
      </c>
      <c r="M125" s="78" t="str">
        <f t="shared" si="17"/>
        <v>WIN</v>
      </c>
      <c r="N125" s="78"/>
      <c r="O125" s="78"/>
      <c r="P125" s="78">
        <f>IF(Schedules[[#This Row],[Player 4]]="",Schedules[[#This Row],[Player 3]],Schedules[[#This Row],[Player 3]]&amp;" / "&amp;Schedules[[#This Row],[Player 4]])</f>
        <v>0</v>
      </c>
      <c r="Q125" s="78">
        <v>10</v>
      </c>
      <c r="R125" s="78" t="str">
        <f t="shared" si="18"/>
        <v>LOST</v>
      </c>
      <c r="S125" s="61">
        <f>Input!C31</f>
        <v>0</v>
      </c>
      <c r="T125" s="61">
        <f>Input!E31</f>
        <v>0</v>
      </c>
    </row>
    <row r="126" spans="1:20" hidden="1" x14ac:dyDescent="0.3">
      <c r="A126" s="109" t="s">
        <v>54</v>
      </c>
      <c r="B126" s="78" t="str">
        <f t="shared" si="19"/>
        <v>Adda</v>
      </c>
      <c r="C126" s="79">
        <f>C125</f>
        <v>0.8416666666666659</v>
      </c>
      <c r="D126" s="79">
        <f>D125</f>
        <v>0.84861111111111032</v>
      </c>
      <c r="E126" s="78" t="str">
        <f t="shared" si="27"/>
        <v>Group</v>
      </c>
      <c r="F126" s="78">
        <f t="shared" si="23"/>
        <v>2</v>
      </c>
      <c r="G126" s="78">
        <f t="shared" si="28"/>
        <v>8</v>
      </c>
      <c r="H126" s="78" t="str">
        <f ca="1">IF(OR(S126="",T126=""),"",IFERROR(_xludf.XLOOKUP(S126,'Registrations'!#REF!,'Registrations'!#REF!,_xludf.XLOOKUP(S126,'Registrations'!$B$4:$B$211,'Registrations'!$E$4:$E$211,S126)),S126) &amp; " vs " &amp; IFERROR(_xludf.XLOOKUP(T126,'Registrations'!#REF!,'Registrations'!#REF!,_xludf.XLOOKUP(T126,'Registrations'!$B$4:$B$211,'Registrations'!$E$4:$E$211,T126)),T126))</f>
        <v>0 vs 0</v>
      </c>
      <c r="I126" s="78" t="str">
        <f t="shared" ca="1" si="16"/>
        <v>0</v>
      </c>
      <c r="J126" s="78" t="str">
        <f t="shared" ca="1" si="26"/>
        <v>0</v>
      </c>
      <c r="K126" s="78" t="str">
        <f ca="1">IF(Schedules[[#This Row],[Player 2]]="",Schedules[[#This Row],[Player 1]],Schedules[[#This Row],[Player 1]]&amp;" / "&amp;Schedules[[#This Row],[Player 2]])</f>
        <v>0 / 0</v>
      </c>
      <c r="L126" s="78">
        <v>15</v>
      </c>
      <c r="M126" s="78" t="str">
        <f t="shared" si="17"/>
        <v>WIN</v>
      </c>
      <c r="N126" s="78"/>
      <c r="O126" s="78"/>
      <c r="P126" s="78">
        <f>IF(Schedules[[#This Row],[Player 4]]="",Schedules[[#This Row],[Player 3]],Schedules[[#This Row],[Player 3]]&amp;" / "&amp;Schedules[[#This Row],[Player 4]])</f>
        <v>0</v>
      </c>
      <c r="Q126" s="78">
        <v>10</v>
      </c>
      <c r="R126" s="78" t="str">
        <f t="shared" si="18"/>
        <v>LOST</v>
      </c>
      <c r="S126" s="61">
        <f>Input!C32</f>
        <v>0</v>
      </c>
      <c r="T126" s="61">
        <f>Input!E32</f>
        <v>0</v>
      </c>
    </row>
    <row r="127" spans="1:20" hidden="1" x14ac:dyDescent="0.3">
      <c r="A127" s="109" t="s">
        <v>54</v>
      </c>
      <c r="B127" s="78" t="str">
        <f t="shared" si="19"/>
        <v>Adda</v>
      </c>
      <c r="C127" s="79">
        <f>D126+TIME(0,3,0)</f>
        <v>0.85069444444444364</v>
      </c>
      <c r="D127" s="79">
        <f>C127+TIME(0,10,0)</f>
        <v>0.85763888888888806</v>
      </c>
      <c r="E127" s="78" t="str">
        <f t="shared" si="27"/>
        <v>Group</v>
      </c>
      <c r="F127" s="78">
        <f t="shared" si="23"/>
        <v>1</v>
      </c>
      <c r="G127" s="78">
        <f t="shared" si="28"/>
        <v>7</v>
      </c>
      <c r="H127" s="78" t="str">
        <f ca="1">IF(OR(S127="",T127=""),"",IFERROR(_xludf.XLOOKUP(S127,'Registrations'!#REF!,'Registrations'!#REF!,_xludf.XLOOKUP(S127,'Registrations'!$B$4:$B$211,'Registrations'!$E$4:$E$211,S127)),S127) &amp; " vs " &amp; IFERROR(_xludf.XLOOKUP(T127,'Registrations'!#REF!,'Registrations'!#REF!,_xludf.XLOOKUP(T127,'Registrations'!$B$4:$B$211,'Registrations'!$E$4:$E$211,T127)),T127))</f>
        <v>0 vs 0</v>
      </c>
      <c r="I127" s="78" t="str">
        <f t="shared" ca="1" si="16"/>
        <v>0</v>
      </c>
      <c r="J127" s="78" t="str">
        <f t="shared" ca="1" si="26"/>
        <v>0</v>
      </c>
      <c r="K127" s="78" t="str">
        <f ca="1">IF(Schedules[[#This Row],[Player 2]]="",Schedules[[#This Row],[Player 1]],Schedules[[#This Row],[Player 1]]&amp;" / "&amp;Schedules[[#This Row],[Player 2]])</f>
        <v>0 / 0</v>
      </c>
      <c r="L127" s="78">
        <v>15</v>
      </c>
      <c r="M127" s="78" t="str">
        <f t="shared" si="17"/>
        <v>WIN</v>
      </c>
      <c r="N127" s="78"/>
      <c r="O127" s="78"/>
      <c r="P127" s="78">
        <f>IF(Schedules[[#This Row],[Player 4]]="",Schedules[[#This Row],[Player 3]],Schedules[[#This Row],[Player 3]]&amp;" / "&amp;Schedules[[#This Row],[Player 4]])</f>
        <v>0</v>
      </c>
      <c r="Q127" s="78">
        <v>10</v>
      </c>
      <c r="R127" s="78" t="str">
        <f t="shared" si="18"/>
        <v>LOST</v>
      </c>
      <c r="S127" s="61">
        <f>Input!B31</f>
        <v>0</v>
      </c>
      <c r="T127" s="61">
        <f>Input!E31</f>
        <v>0</v>
      </c>
    </row>
    <row r="128" spans="1:20" hidden="1" x14ac:dyDescent="0.3">
      <c r="A128" s="109" t="s">
        <v>54</v>
      </c>
      <c r="B128" s="78" t="str">
        <f t="shared" si="19"/>
        <v>Adda</v>
      </c>
      <c r="C128" s="79">
        <f>C127</f>
        <v>0.85069444444444364</v>
      </c>
      <c r="D128" s="79">
        <f>D127</f>
        <v>0.85763888888888806</v>
      </c>
      <c r="E128" s="78" t="str">
        <f t="shared" si="27"/>
        <v>Group</v>
      </c>
      <c r="F128" s="78">
        <f t="shared" si="23"/>
        <v>2</v>
      </c>
      <c r="G128" s="78">
        <f t="shared" si="28"/>
        <v>8</v>
      </c>
      <c r="H128" s="78" t="str">
        <f ca="1">IF(OR(S128="",T128=""),"",IFERROR(_xludf.XLOOKUP(S128,'Registrations'!#REF!,'Registrations'!#REF!,_xludf.XLOOKUP(S128,'Registrations'!$B$4:$B$211,'Registrations'!$E$4:$E$211,S128)),S128) &amp; " vs " &amp; IFERROR(_xludf.XLOOKUP(T128,'Registrations'!#REF!,'Registrations'!#REF!,_xludf.XLOOKUP(T128,'Registrations'!$B$4:$B$211,'Registrations'!$E$4:$E$211,T128)),T128))</f>
        <v>0 vs 0</v>
      </c>
      <c r="I128" s="78" t="str">
        <f t="shared" ca="1" si="16"/>
        <v>0</v>
      </c>
      <c r="J128" s="78" t="str">
        <f t="shared" ca="1" si="26"/>
        <v>0</v>
      </c>
      <c r="K128" s="78" t="str">
        <f ca="1">IF(Schedules[[#This Row],[Player 2]]="",Schedules[[#This Row],[Player 1]],Schedules[[#This Row],[Player 1]]&amp;" / "&amp;Schedules[[#This Row],[Player 2]])</f>
        <v>0 / 0</v>
      </c>
      <c r="L128" s="78">
        <v>15</v>
      </c>
      <c r="M128" s="78" t="str">
        <f t="shared" si="17"/>
        <v>WIN</v>
      </c>
      <c r="N128" s="78"/>
      <c r="O128" s="78"/>
      <c r="P128" s="78">
        <f>IF(Schedules[[#This Row],[Player 4]]="",Schedules[[#This Row],[Player 3]],Schedules[[#This Row],[Player 3]]&amp;" / "&amp;Schedules[[#This Row],[Player 4]])</f>
        <v>0</v>
      </c>
      <c r="Q128" s="78">
        <v>10</v>
      </c>
      <c r="R128" s="78" t="str">
        <f t="shared" si="18"/>
        <v>LOST</v>
      </c>
      <c r="S128" s="61">
        <f>Input!B32</f>
        <v>0</v>
      </c>
      <c r="T128" s="61">
        <f>Input!E32</f>
        <v>0</v>
      </c>
    </row>
    <row r="129" spans="1:20" hidden="1" x14ac:dyDescent="0.3">
      <c r="A129" s="109" t="s">
        <v>54</v>
      </c>
      <c r="B129" s="78" t="str">
        <f t="shared" si="19"/>
        <v>Adda</v>
      </c>
      <c r="C129" s="79">
        <f>D128+TIME(0,3,0)</f>
        <v>0.85972222222222139</v>
      </c>
      <c r="D129" s="79">
        <f>C129+TIME(0,10,0)</f>
        <v>0.86666666666666581</v>
      </c>
      <c r="E129" s="78" t="str">
        <f t="shared" si="27"/>
        <v>Group</v>
      </c>
      <c r="F129" s="78">
        <f t="shared" si="23"/>
        <v>1</v>
      </c>
      <c r="G129" s="78">
        <f t="shared" si="28"/>
        <v>7</v>
      </c>
      <c r="H129" s="78" t="str">
        <f ca="1">IF(OR(S129="",T129=""),"",IFERROR(_xludf.XLOOKUP(S129,'Registrations'!#REF!,'Registrations'!#REF!,_xludf.XLOOKUP(S129,'Registrations'!$B$4:$B$211,'Registrations'!$E$4:$E$211,S129)),S129) &amp; " vs " &amp; IFERROR(_xludf.XLOOKUP(T129,'Registrations'!#REF!,'Registrations'!#REF!,_xludf.XLOOKUP(T129,'Registrations'!$B$4:$B$211,'Registrations'!$E$4:$E$211,T129)),T129))</f>
        <v>0 vs 0</v>
      </c>
      <c r="I129" s="78" t="str">
        <f t="shared" ca="1" si="16"/>
        <v>0</v>
      </c>
      <c r="J129" s="78" t="str">
        <f t="shared" ca="1" si="26"/>
        <v>0</v>
      </c>
      <c r="K129" s="78" t="str">
        <f ca="1">IF(Schedules[[#This Row],[Player 2]]="",Schedules[[#This Row],[Player 1]],Schedules[[#This Row],[Player 1]]&amp;" / "&amp;Schedules[[#This Row],[Player 2]])</f>
        <v>0 / 0</v>
      </c>
      <c r="L129" s="78">
        <v>15</v>
      </c>
      <c r="M129" s="78" t="str">
        <f t="shared" si="17"/>
        <v>WIN</v>
      </c>
      <c r="N129" s="78"/>
      <c r="O129" s="78"/>
      <c r="P129" s="78">
        <f>IF(Schedules[[#This Row],[Player 4]]="",Schedules[[#This Row],[Player 3]],Schedules[[#This Row],[Player 3]]&amp;" / "&amp;Schedules[[#This Row],[Player 4]])</f>
        <v>0</v>
      </c>
      <c r="Q129" s="78">
        <v>10</v>
      </c>
      <c r="R129" s="78" t="str">
        <f t="shared" si="18"/>
        <v>LOST</v>
      </c>
      <c r="S129" s="61">
        <f>Input!C31</f>
        <v>0</v>
      </c>
      <c r="T129" s="61">
        <f>Input!D31</f>
        <v>0</v>
      </c>
    </row>
    <row r="130" spans="1:20" hidden="1" x14ac:dyDescent="0.3">
      <c r="A130" s="109" t="s">
        <v>54</v>
      </c>
      <c r="B130" s="78" t="str">
        <f t="shared" si="19"/>
        <v>Adda</v>
      </c>
      <c r="C130" s="79">
        <f>C129</f>
        <v>0.85972222222222139</v>
      </c>
      <c r="D130" s="79">
        <f>D129</f>
        <v>0.86666666666666581</v>
      </c>
      <c r="E130" s="78" t="str">
        <f t="shared" si="27"/>
        <v>Group</v>
      </c>
      <c r="F130" s="78">
        <f t="shared" si="23"/>
        <v>2</v>
      </c>
      <c r="G130" s="78">
        <f t="shared" si="28"/>
        <v>8</v>
      </c>
      <c r="H130" s="78" t="str">
        <f ca="1">IF(OR(S130="",T130=""),"",IFERROR(_xludf.XLOOKUP(S130,'Registrations'!#REF!,'Registrations'!#REF!,_xludf.XLOOKUP(S130,'Registrations'!$B$4:$B$211,'Registrations'!$E$4:$E$211,S130)),S130) &amp; " vs " &amp; IFERROR(_xludf.XLOOKUP(T130,'Registrations'!#REF!,'Registrations'!#REF!,_xludf.XLOOKUP(T130,'Registrations'!$B$4:$B$211,'Registrations'!$E$4:$E$211,T130)),T130))</f>
        <v>0 vs 0</v>
      </c>
      <c r="I130" s="78" t="str">
        <f t="shared" ca="1" si="16"/>
        <v>0</v>
      </c>
      <c r="J130" s="78" t="str">
        <f t="shared" ca="1" si="26"/>
        <v>0</v>
      </c>
      <c r="K130" s="78" t="str">
        <f ca="1">IF(Schedules[[#This Row],[Player 2]]="",Schedules[[#This Row],[Player 1]],Schedules[[#This Row],[Player 1]]&amp;" / "&amp;Schedules[[#This Row],[Player 2]])</f>
        <v>0 / 0</v>
      </c>
      <c r="L130" s="78">
        <v>15</v>
      </c>
      <c r="M130" s="78" t="str">
        <f t="shared" si="17"/>
        <v>WIN</v>
      </c>
      <c r="N130" s="78"/>
      <c r="O130" s="78"/>
      <c r="P130" s="78">
        <f>IF(Schedules[[#This Row],[Player 4]]="",Schedules[[#This Row],[Player 3]],Schedules[[#This Row],[Player 3]]&amp;" / "&amp;Schedules[[#This Row],[Player 4]])</f>
        <v>0</v>
      </c>
      <c r="Q130" s="78">
        <v>10</v>
      </c>
      <c r="R130" s="78" t="str">
        <f t="shared" si="18"/>
        <v>LOST</v>
      </c>
      <c r="S130" s="61">
        <f>Input!C32</f>
        <v>0</v>
      </c>
      <c r="T130" s="61">
        <f>Input!D32</f>
        <v>0</v>
      </c>
    </row>
    <row r="131" spans="1:20" hidden="1" x14ac:dyDescent="0.3">
      <c r="A131" s="110" t="s">
        <v>54</v>
      </c>
      <c r="B131" s="76" t="str">
        <f t="shared" si="19"/>
        <v>Adda</v>
      </c>
      <c r="C131" s="77">
        <f>D130+TIME(0,3,0)</f>
        <v>0.86874999999999913</v>
      </c>
      <c r="D131" s="77">
        <f>C131+TIME(0,10,0)</f>
        <v>0.87569444444444355</v>
      </c>
      <c r="E131" s="76" t="s">
        <v>432</v>
      </c>
      <c r="F131" s="76">
        <f t="shared" si="23"/>
        <v>1</v>
      </c>
      <c r="G131" s="76" t="s">
        <v>439</v>
      </c>
      <c r="H131" s="76" t="str">
        <f ca="1">IF(OR(S131="",T131=""),"",IFERROR(_xludf.XLOOKUP(S131,'Registrations'!#REF!,'Registrations'!#REF!,_xludf.XLOOKUP(S131,'Registrations'!$B$4:$B$211,'Registrations'!$E$4:$E$211,S131)),S131) &amp; " vs " &amp; IFERROR(_xludf.XLOOKUP(T131,'Registrations'!#REF!,'Registrations'!#REF!,_xludf.XLOOKUP(T131,'Registrations'!$B$4:$B$211,'Registrations'!$E$4:$E$211,T131)),T131))</f>
        <v>0 vs 0</v>
      </c>
      <c r="I131" s="76" t="str">
        <f t="shared" ref="I131:I139" ca="1" si="29">_xlfn.TEXTBEFORE(H131," vs ")</f>
        <v>0</v>
      </c>
      <c r="J131" s="76" t="str">
        <f t="shared" ca="1" si="26"/>
        <v>0</v>
      </c>
      <c r="K131" s="76" t="str">
        <f ca="1">IF(Schedules[[#This Row],[Player 2]]="",Schedules[[#This Row],[Player 1]],Schedules[[#This Row],[Player 1]]&amp;" / "&amp;Schedules[[#This Row],[Player 2]])</f>
        <v>0 / 0</v>
      </c>
      <c r="L131" s="76">
        <v>15</v>
      </c>
      <c r="M131" s="76" t="str">
        <f t="shared" ref="M131:M139" si="30">IF(L131=15,"WIN","LOST")</f>
        <v>WIN</v>
      </c>
      <c r="N131" s="76"/>
      <c r="O131" s="76"/>
      <c r="P131" s="76">
        <f>IF(Schedules[[#This Row],[Player 4]]="",Schedules[[#This Row],[Player 3]],Schedules[[#This Row],[Player 3]]&amp;" / "&amp;Schedules[[#This Row],[Player 4]])</f>
        <v>0</v>
      </c>
      <c r="Q131" s="76">
        <v>10</v>
      </c>
      <c r="R131" s="76" t="str">
        <f t="shared" ref="R131:R139" si="31">IF(Q131=15,"WIN","LOST")</f>
        <v>LOST</v>
      </c>
      <c r="S131" s="61">
        <f>Input!H31</f>
        <v>0</v>
      </c>
      <c r="T131" s="61">
        <f>Input!I31</f>
        <v>0</v>
      </c>
    </row>
    <row r="132" spans="1:20" hidden="1" x14ac:dyDescent="0.3">
      <c r="A132" s="110" t="s">
        <v>54</v>
      </c>
      <c r="B132" s="76" t="str">
        <f t="shared" ref="B132:B195" si="32">B131</f>
        <v>Adda</v>
      </c>
      <c r="C132" s="77">
        <f>C131</f>
        <v>0.86874999999999913</v>
      </c>
      <c r="D132" s="77">
        <f>D131</f>
        <v>0.87569444444444355</v>
      </c>
      <c r="E132" s="76" t="str">
        <f>E131</f>
        <v>Pre-Q</v>
      </c>
      <c r="F132" s="76">
        <f t="shared" si="23"/>
        <v>2</v>
      </c>
      <c r="G132" s="76" t="str">
        <f>G131</f>
        <v>7 vs 8</v>
      </c>
      <c r="H132" s="76" t="str">
        <f ca="1">IF(OR(S132="",T132=""),"",IFERROR(_xludf.XLOOKUP(S132,'Registrations'!#REF!,'Registrations'!#REF!,_xludf.XLOOKUP(S132,'Registrations'!$B$4:$B$211,'Registrations'!$E$4:$E$211,S132)),S132) &amp; " vs " &amp; IFERROR(_xludf.XLOOKUP(T132,'Registrations'!#REF!,'Registrations'!#REF!,_xludf.XLOOKUP(T132,'Registrations'!$B$4:$B$211,'Registrations'!$E$4:$E$211,T132)),T132))</f>
        <v>0 vs 0</v>
      </c>
      <c r="I132" s="76" t="str">
        <f t="shared" ca="1" si="29"/>
        <v>0</v>
      </c>
      <c r="J132" s="76" t="str">
        <f t="shared" ca="1" si="26"/>
        <v>0</v>
      </c>
      <c r="K132" s="76" t="str">
        <f ca="1">IF(Schedules[[#This Row],[Player 2]]="",Schedules[[#This Row],[Player 1]],Schedules[[#This Row],[Player 1]]&amp;" / "&amp;Schedules[[#This Row],[Player 2]])</f>
        <v>0 / 0</v>
      </c>
      <c r="L132" s="76">
        <v>15</v>
      </c>
      <c r="M132" s="76" t="str">
        <f t="shared" si="30"/>
        <v>WIN</v>
      </c>
      <c r="N132" s="76"/>
      <c r="O132" s="76"/>
      <c r="P132" s="76">
        <f>IF(Schedules[[#This Row],[Player 4]]="",Schedules[[#This Row],[Player 3]],Schedules[[#This Row],[Player 3]]&amp;" / "&amp;Schedules[[#This Row],[Player 4]])</f>
        <v>0</v>
      </c>
      <c r="Q132" s="76">
        <v>10</v>
      </c>
      <c r="R132" s="76" t="str">
        <f t="shared" si="31"/>
        <v>LOST</v>
      </c>
      <c r="S132" s="61">
        <f>Input!H32</f>
        <v>0</v>
      </c>
      <c r="T132" s="61">
        <f>Input!I32</f>
        <v>0</v>
      </c>
    </row>
    <row r="133" spans="1:20" hidden="1" x14ac:dyDescent="0.3">
      <c r="A133" s="111" t="s">
        <v>54</v>
      </c>
      <c r="B133" s="74" t="str">
        <f t="shared" si="32"/>
        <v>Adda</v>
      </c>
      <c r="C133" s="75">
        <f>D132+TIME(0,3,0)</f>
        <v>0.87777777777777688</v>
      </c>
      <c r="D133" s="75">
        <f>C133+TIME(0,10,0)</f>
        <v>0.8847222222222213</v>
      </c>
      <c r="E133" s="74" t="s">
        <v>40</v>
      </c>
      <c r="F133" s="74">
        <f t="shared" si="23"/>
        <v>1</v>
      </c>
      <c r="G133" s="74" t="s">
        <v>437</v>
      </c>
      <c r="H133" s="74" t="str">
        <f ca="1">IF(OR(S133="",T133=""),"",IFERROR(_xludf.XLOOKUP(S133,'Registrations'!#REF!,'Registrations'!#REF!,_xludf.XLOOKUP(S133,'Registrations'!$B$4:$B$211,'Registrations'!$E$4:$E$211,S133)),S133) &amp; " vs " &amp; IFERROR(_xludf.XLOOKUP(T133,'Registrations'!#REF!,'Registrations'!#REF!,_xludf.XLOOKUP(T133,'Registrations'!$B$4:$B$211,'Registrations'!$E$4:$E$211,T133)),T133))</f>
        <v>0 vs 0</v>
      </c>
      <c r="I133" s="74" t="str">
        <f t="shared" ca="1" si="29"/>
        <v>0</v>
      </c>
      <c r="J133" s="74" t="str">
        <f t="shared" ca="1" si="26"/>
        <v>0</v>
      </c>
      <c r="K133" s="74" t="str">
        <f ca="1">IF(Schedules[[#This Row],[Player 2]]="",Schedules[[#This Row],[Player 1]],Schedules[[#This Row],[Player 1]]&amp;" / "&amp;Schedules[[#This Row],[Player 2]])</f>
        <v>0 / 0</v>
      </c>
      <c r="L133" s="74">
        <v>15</v>
      </c>
      <c r="M133" s="74" t="str">
        <f t="shared" si="30"/>
        <v>WIN</v>
      </c>
      <c r="N133" s="74"/>
      <c r="O133" s="74"/>
      <c r="P133" s="74">
        <f>IF(Schedules[[#This Row],[Player 4]]="",Schedules[[#This Row],[Player 3]],Schedules[[#This Row],[Player 3]]&amp;" / "&amp;Schedules[[#This Row],[Player 4]])</f>
        <v>0</v>
      </c>
      <c r="Q133" s="74">
        <v>10</v>
      </c>
      <c r="R133" s="74" t="str">
        <f t="shared" si="31"/>
        <v>LOST</v>
      </c>
      <c r="S133" s="61">
        <f>Input!L25</f>
        <v>0</v>
      </c>
      <c r="T133" s="61">
        <f>Input!M25</f>
        <v>0</v>
      </c>
    </row>
    <row r="134" spans="1:20" hidden="1" x14ac:dyDescent="0.3">
      <c r="A134" s="111" t="s">
        <v>54</v>
      </c>
      <c r="B134" s="74" t="str">
        <f t="shared" si="32"/>
        <v>Adda</v>
      </c>
      <c r="C134" s="75">
        <f>C133</f>
        <v>0.87777777777777688</v>
      </c>
      <c r="D134" s="75">
        <f>D133</f>
        <v>0.8847222222222213</v>
      </c>
      <c r="E134" s="74" t="str">
        <f>E133</f>
        <v>Quarters</v>
      </c>
      <c r="F134" s="74">
        <f t="shared" si="23"/>
        <v>2</v>
      </c>
      <c r="G134" s="74" t="s">
        <v>436</v>
      </c>
      <c r="H134" s="74" t="str">
        <f ca="1">IF(OR(S134="",T134=""),"",IFERROR(_xludf.XLOOKUP(S134,'Registrations'!#REF!,'Registrations'!#REF!,_xludf.XLOOKUP(S134,'Registrations'!$B$4:$B$211,'Registrations'!$E$4:$E$211,S134)),S134) &amp; " vs " &amp; IFERROR(_xludf.XLOOKUP(T134,'Registrations'!#REF!,'Registrations'!#REF!,_xludf.XLOOKUP(T134,'Registrations'!$B$4:$B$211,'Registrations'!$E$4:$E$211,T134)),T134))</f>
        <v>0 vs 0</v>
      </c>
      <c r="I134" s="74" t="str">
        <f t="shared" ca="1" si="29"/>
        <v>0</v>
      </c>
      <c r="J134" s="74" t="str">
        <f t="shared" ca="1" si="26"/>
        <v>0</v>
      </c>
      <c r="K134" s="74" t="str">
        <f ca="1">IF(Schedules[[#This Row],[Player 2]]="",Schedules[[#This Row],[Player 1]],Schedules[[#This Row],[Player 1]]&amp;" / "&amp;Schedules[[#This Row],[Player 2]])</f>
        <v>0 / 0</v>
      </c>
      <c r="L134" s="74">
        <v>15</v>
      </c>
      <c r="M134" s="74" t="str">
        <f t="shared" si="30"/>
        <v>WIN</v>
      </c>
      <c r="N134" s="74"/>
      <c r="O134" s="74"/>
      <c r="P134" s="74">
        <f>IF(Schedules[[#This Row],[Player 4]]="",Schedules[[#This Row],[Player 3]],Schedules[[#This Row],[Player 3]]&amp;" / "&amp;Schedules[[#This Row],[Player 4]])</f>
        <v>0</v>
      </c>
      <c r="Q134" s="74">
        <v>10</v>
      </c>
      <c r="R134" s="74" t="str">
        <f t="shared" si="31"/>
        <v>LOST</v>
      </c>
      <c r="S134" s="61">
        <f>Input!L26</f>
        <v>0</v>
      </c>
      <c r="T134" s="61">
        <f>Input!M26</f>
        <v>0</v>
      </c>
    </row>
    <row r="135" spans="1:20" hidden="1" x14ac:dyDescent="0.3">
      <c r="A135" s="111" t="s">
        <v>54</v>
      </c>
      <c r="B135" s="74" t="str">
        <f t="shared" si="32"/>
        <v>Adda</v>
      </c>
      <c r="C135" s="75">
        <f>D134+TIME(0,3,0)</f>
        <v>0.88680555555555463</v>
      </c>
      <c r="D135" s="75">
        <f>C135+TIME(0,10,0)</f>
        <v>0.89374999999999905</v>
      </c>
      <c r="E135" s="74" t="str">
        <f>E134</f>
        <v>Quarters</v>
      </c>
      <c r="F135" s="74">
        <f t="shared" si="23"/>
        <v>1</v>
      </c>
      <c r="G135" s="74" t="s">
        <v>438</v>
      </c>
      <c r="H135" s="74" t="str">
        <f ca="1">IF(OR(S135="",T135=""),"",IFERROR(_xludf.XLOOKUP(S135,'Registrations'!#REF!,'Registrations'!#REF!,_xludf.XLOOKUP(S135,'Registrations'!$B$4:$B$211,'Registrations'!$E$4:$E$211,S135)),S135) &amp; " vs " &amp; IFERROR(_xludf.XLOOKUP(T135,'Registrations'!#REF!,'Registrations'!#REF!,_xludf.XLOOKUP(T135,'Registrations'!$B$4:$B$211,'Registrations'!$E$4:$E$211,T135)),T135))</f>
        <v>0 vs 0</v>
      </c>
      <c r="I135" s="74" t="str">
        <f t="shared" ca="1" si="29"/>
        <v>0</v>
      </c>
      <c r="J135" s="74" t="str">
        <f t="shared" ca="1" si="26"/>
        <v>0</v>
      </c>
      <c r="K135" s="74" t="str">
        <f ca="1">IF(Schedules[[#This Row],[Player 2]]="",Schedules[[#This Row],[Player 1]],Schedules[[#This Row],[Player 1]]&amp;" / "&amp;Schedules[[#This Row],[Player 2]])</f>
        <v>0 / 0</v>
      </c>
      <c r="L135" s="74">
        <v>15</v>
      </c>
      <c r="M135" s="74" t="str">
        <f t="shared" si="30"/>
        <v>WIN</v>
      </c>
      <c r="N135" s="74"/>
      <c r="O135" s="74"/>
      <c r="P135" s="74">
        <f>IF(Schedules[[#This Row],[Player 4]]="",Schedules[[#This Row],[Player 3]],Schedules[[#This Row],[Player 3]]&amp;" / "&amp;Schedules[[#This Row],[Player 4]])</f>
        <v>0</v>
      </c>
      <c r="Q135" s="74">
        <v>10</v>
      </c>
      <c r="R135" s="74" t="str">
        <f t="shared" si="31"/>
        <v>LOST</v>
      </c>
      <c r="S135" s="61">
        <f>Input!L27</f>
        <v>0</v>
      </c>
      <c r="T135" s="61">
        <f>Input!M27</f>
        <v>0</v>
      </c>
    </row>
    <row r="136" spans="1:20" hidden="1" x14ac:dyDescent="0.3">
      <c r="A136" s="111" t="s">
        <v>54</v>
      </c>
      <c r="B136" s="74" t="str">
        <f t="shared" si="32"/>
        <v>Adda</v>
      </c>
      <c r="C136" s="75">
        <f>C135</f>
        <v>0.88680555555555463</v>
      </c>
      <c r="D136" s="75">
        <f>D135</f>
        <v>0.89374999999999905</v>
      </c>
      <c r="E136" s="74" t="str">
        <f>E135</f>
        <v>Quarters</v>
      </c>
      <c r="F136" s="74">
        <f t="shared" si="23"/>
        <v>2</v>
      </c>
      <c r="G136" s="74" t="s">
        <v>435</v>
      </c>
      <c r="H136" s="74" t="str">
        <f ca="1">IF(OR(S136="",T136=""),"",IFERROR(_xludf.XLOOKUP(S136,'Registrations'!#REF!,'Registrations'!#REF!,_xludf.XLOOKUP(S136,'Registrations'!$B$4:$B$211,'Registrations'!$E$4:$E$211,S136)),S136) &amp; " vs " &amp; IFERROR(_xludf.XLOOKUP(T136,'Registrations'!#REF!,'Registrations'!#REF!,_xludf.XLOOKUP(T136,'Registrations'!$B$4:$B$211,'Registrations'!$E$4:$E$211,T136)),T136))</f>
        <v>0 vs 0</v>
      </c>
      <c r="I136" s="74" t="str">
        <f t="shared" ca="1" si="29"/>
        <v>0</v>
      </c>
      <c r="J136" s="74" t="str">
        <f t="shared" ca="1" si="26"/>
        <v>0</v>
      </c>
      <c r="K136" s="74" t="str">
        <f ca="1">IF(Schedules[[#This Row],[Player 2]]="",Schedules[[#This Row],[Player 1]],Schedules[[#This Row],[Player 1]]&amp;" / "&amp;Schedules[[#This Row],[Player 2]])</f>
        <v>0 / 0</v>
      </c>
      <c r="L136" s="74">
        <v>15</v>
      </c>
      <c r="M136" s="74" t="str">
        <f t="shared" si="30"/>
        <v>WIN</v>
      </c>
      <c r="N136" s="74"/>
      <c r="O136" s="74"/>
      <c r="P136" s="74">
        <f>IF(Schedules[[#This Row],[Player 4]]="",Schedules[[#This Row],[Player 3]],Schedules[[#This Row],[Player 3]]&amp;" / "&amp;Schedules[[#This Row],[Player 4]])</f>
        <v>0</v>
      </c>
      <c r="Q136" s="74">
        <v>10</v>
      </c>
      <c r="R136" s="74" t="str">
        <f t="shared" si="31"/>
        <v>LOST</v>
      </c>
      <c r="S136" s="61">
        <f>Input!L28</f>
        <v>0</v>
      </c>
      <c r="T136" s="61">
        <f>Input!M28</f>
        <v>0</v>
      </c>
    </row>
    <row r="137" spans="1:20" hidden="1" x14ac:dyDescent="0.3">
      <c r="A137" s="113" t="s">
        <v>54</v>
      </c>
      <c r="B137" s="72" t="str">
        <f t="shared" si="32"/>
        <v>Adda</v>
      </c>
      <c r="C137" s="73">
        <f>D136+TIME(0,3,0)</f>
        <v>0.89583333333333237</v>
      </c>
      <c r="D137" s="73">
        <f>C137+TIME(0,10,0)</f>
        <v>0.90277777777777679</v>
      </c>
      <c r="E137" s="72" t="s">
        <v>444</v>
      </c>
      <c r="F137" s="72">
        <f t="shared" si="23"/>
        <v>1</v>
      </c>
      <c r="G137" s="72" t="s">
        <v>426</v>
      </c>
      <c r="H137" s="72" t="str">
        <f ca="1">IF(OR(S137="",T137=""),"",IFERROR(_xludf.XLOOKUP(S137,'Registrations'!#REF!,'Registrations'!#REF!,_xludf.XLOOKUP(S137,'Registrations'!$B$4:$B$211,'Registrations'!$E$4:$E$211,S137)),S137) &amp; " vs " &amp; IFERROR(_xludf.XLOOKUP(T137,'Registrations'!#REF!,'Registrations'!#REF!,_xludf.XLOOKUP(T137,'Registrations'!$B$4:$B$211,'Registrations'!$E$4:$E$211,T137)),T137))</f>
        <v>0 vs 0</v>
      </c>
      <c r="I137" s="72" t="str">
        <f t="shared" ca="1" si="29"/>
        <v>0</v>
      </c>
      <c r="J137" s="72" t="str">
        <f t="shared" ca="1" si="26"/>
        <v>0</v>
      </c>
      <c r="K137" s="72" t="str">
        <f ca="1">IF(Schedules[[#This Row],[Player 2]]="",Schedules[[#This Row],[Player 1]],Schedules[[#This Row],[Player 1]]&amp;" / "&amp;Schedules[[#This Row],[Player 2]])</f>
        <v>0 / 0</v>
      </c>
      <c r="L137" s="72">
        <v>15</v>
      </c>
      <c r="M137" s="72" t="str">
        <f t="shared" si="30"/>
        <v>WIN</v>
      </c>
      <c r="N137" s="72"/>
      <c r="O137" s="72"/>
      <c r="P137" s="72">
        <f>IF(Schedules[[#This Row],[Player 4]]="",Schedules[[#This Row],[Player 3]],Schedules[[#This Row],[Player 3]]&amp;" / "&amp;Schedules[[#This Row],[Player 4]])</f>
        <v>0</v>
      </c>
      <c r="Q137" s="72">
        <v>10</v>
      </c>
      <c r="R137" s="72" t="str">
        <f t="shared" si="31"/>
        <v>LOST</v>
      </c>
      <c r="S137" s="61">
        <f>Input!P25</f>
        <v>0</v>
      </c>
      <c r="T137" s="61">
        <f>Input!Q25</f>
        <v>0</v>
      </c>
    </row>
    <row r="138" spans="1:20" hidden="1" x14ac:dyDescent="0.3">
      <c r="A138" s="113" t="s">
        <v>54</v>
      </c>
      <c r="B138" s="72" t="str">
        <f t="shared" si="32"/>
        <v>Adda</v>
      </c>
      <c r="C138" s="73">
        <f>C137</f>
        <v>0.89583333333333237</v>
      </c>
      <c r="D138" s="73">
        <f>D137</f>
        <v>0.90277777777777679</v>
      </c>
      <c r="E138" s="72" t="str">
        <f>E137</f>
        <v>Semi Finals</v>
      </c>
      <c r="F138" s="72">
        <f t="shared" si="23"/>
        <v>2</v>
      </c>
      <c r="G138" s="72" t="s">
        <v>434</v>
      </c>
      <c r="H138" s="72" t="str">
        <f ca="1">IF(OR(S138="",T138=""),"",IFERROR(_xludf.XLOOKUP(S138,'Registrations'!#REF!,'Registrations'!#REF!,_xludf.XLOOKUP(S138,'Registrations'!$B$4:$B$211,'Registrations'!$E$4:$E$211,S138)),S138) &amp; " vs " &amp; IFERROR(_xludf.XLOOKUP(T138,'Registrations'!#REF!,'Registrations'!#REF!,_xludf.XLOOKUP(T138,'Registrations'!$B$4:$B$211,'Registrations'!$E$4:$E$211,T138)),T138))</f>
        <v>0 vs 0</v>
      </c>
      <c r="I138" s="72" t="str">
        <f t="shared" ca="1" si="29"/>
        <v>0</v>
      </c>
      <c r="J138" s="72" t="str">
        <f t="shared" ca="1" si="26"/>
        <v>0</v>
      </c>
      <c r="K138" s="72" t="str">
        <f ca="1">IF(Schedules[[#This Row],[Player 2]]="",Schedules[[#This Row],[Player 1]],Schedules[[#This Row],[Player 1]]&amp;" / "&amp;Schedules[[#This Row],[Player 2]])</f>
        <v>0 / 0</v>
      </c>
      <c r="L138" s="72">
        <v>15</v>
      </c>
      <c r="M138" s="72" t="str">
        <f t="shared" si="30"/>
        <v>WIN</v>
      </c>
      <c r="N138" s="72"/>
      <c r="O138" s="72"/>
      <c r="P138" s="72">
        <f>IF(Schedules[[#This Row],[Player 4]]="",Schedules[[#This Row],[Player 3]],Schedules[[#This Row],[Player 3]]&amp;" / "&amp;Schedules[[#This Row],[Player 4]])</f>
        <v>0</v>
      </c>
      <c r="Q138" s="72">
        <v>10</v>
      </c>
      <c r="R138" s="72" t="str">
        <f t="shared" si="31"/>
        <v>LOST</v>
      </c>
      <c r="S138" s="61">
        <f>Input!P26</f>
        <v>0</v>
      </c>
      <c r="T138" s="61">
        <f>Input!Q26</f>
        <v>0</v>
      </c>
    </row>
    <row r="139" spans="1:20" hidden="1" x14ac:dyDescent="0.3">
      <c r="A139" s="114" t="s">
        <v>54</v>
      </c>
      <c r="B139" s="68" t="str">
        <f t="shared" si="32"/>
        <v>Adda</v>
      </c>
      <c r="C139" s="69">
        <f>D138+TIME(0,3,0)</f>
        <v>0.90486111111111012</v>
      </c>
      <c r="D139" s="69">
        <f>C139+TIME(0,10,0)</f>
        <v>0.91180555555555454</v>
      </c>
      <c r="E139" s="68" t="s">
        <v>41</v>
      </c>
      <c r="F139" s="68">
        <v>1</v>
      </c>
      <c r="G139" s="68" t="s">
        <v>422</v>
      </c>
      <c r="H139" s="68" t="str">
        <f ca="1">IF(OR(S139="",T139=""),"",IFERROR(_xludf.XLOOKUP(S139,'Registrations'!#REF!,'Registrations'!#REF!,_xludf.XLOOKUP(S139,'Registrations'!$B$4:$B$211,'Registrations'!$E$4:$E$211,S139)),S139) &amp; " vs " &amp; IFERROR(_xludf.XLOOKUP(T139,'Registrations'!#REF!,'Registrations'!#REF!,_xludf.XLOOKUP(T139,'Registrations'!$B$4:$B$211,'Registrations'!$E$4:$E$211,T139)),T139))</f>
        <v>0 vs 0</v>
      </c>
      <c r="I139" s="68" t="str">
        <f t="shared" ca="1" si="29"/>
        <v>0</v>
      </c>
      <c r="J139" s="68" t="str">
        <f t="shared" ca="1" si="26"/>
        <v>0</v>
      </c>
      <c r="K139" s="68" t="str">
        <f ca="1">IF(Schedules[[#This Row],[Player 2]]="",Schedules[[#This Row],[Player 1]],Schedules[[#This Row],[Player 1]]&amp;" / "&amp;Schedules[[#This Row],[Player 2]])</f>
        <v>0 / 0</v>
      </c>
      <c r="L139" s="68">
        <v>15</v>
      </c>
      <c r="M139" s="68" t="str">
        <f t="shared" si="30"/>
        <v>WIN</v>
      </c>
      <c r="N139" s="68"/>
      <c r="O139" s="68"/>
      <c r="P139" s="68">
        <f>IF(Schedules[[#This Row],[Player 4]]="",Schedules[[#This Row],[Player 3]],Schedules[[#This Row],[Player 3]]&amp;" / "&amp;Schedules[[#This Row],[Player 4]])</f>
        <v>0</v>
      </c>
      <c r="Q139" s="68">
        <v>10</v>
      </c>
      <c r="R139" s="68" t="str">
        <f t="shared" si="31"/>
        <v>LOST</v>
      </c>
      <c r="S139" s="61">
        <f>Input!T25</f>
        <v>0</v>
      </c>
      <c r="T139" s="61">
        <f>Input!U25</f>
        <v>0</v>
      </c>
    </row>
    <row r="140" spans="1:20" hidden="1" x14ac:dyDescent="0.3">
      <c r="A140" s="109" t="s">
        <v>55</v>
      </c>
      <c r="B140" s="78" t="str">
        <f t="shared" si="32"/>
        <v>Adda</v>
      </c>
      <c r="C140" s="79">
        <v>46117.291666666657</v>
      </c>
      <c r="D140" s="79">
        <f>C140+TIME(0,10,0)</f>
        <v>46117.298611111102</v>
      </c>
      <c r="E140" s="78" t="s">
        <v>433</v>
      </c>
      <c r="F140" s="78">
        <v>1</v>
      </c>
      <c r="G140" s="78">
        <v>1</v>
      </c>
      <c r="H140" s="78" t="str">
        <f ca="1">IF(OR(S140="",T140=""),"",IFERROR(_xludf.XLOOKUP(S140,'Registrations'!#REF!,'Registrations'!#REF!,_xludf.XLOOKUP(S140,'Registrations'!$B$4:$B$211,'Registrations'!$E$4:$E$211,S140)),S140) &amp; " vs " &amp; IFERROR(_xludf.XLOOKUP(T140,'Registrations'!#REF!,'Registrations'!#REF!,_xludf.XLOOKUP(T140,'Registrations'!$B$4:$B$211,'Registrations'!$E$4:$E$211,T140)),T140))</f>
        <v>0 vs 0</v>
      </c>
      <c r="I140" s="78"/>
      <c r="J140" s="78"/>
      <c r="K140" s="78">
        <f>IF(Schedules[[#This Row],[Player 2]]="",Schedules[[#This Row],[Player 1]],Schedules[[#This Row],[Player 1]]&amp;" / "&amp;Schedules[[#This Row],[Player 2]])</f>
        <v>0</v>
      </c>
      <c r="L140" s="78">
        <v>15</v>
      </c>
      <c r="M140" s="78" t="str">
        <f t="shared" ref="M140:M203" si="33">IF(L140=15,"WIN","LOST")</f>
        <v>WIN</v>
      </c>
      <c r="N140" s="78"/>
      <c r="O140" s="78"/>
      <c r="P140" s="78">
        <f>IF(Schedules[[#This Row],[Player 4]]="",Schedules[[#This Row],[Player 3]],Schedules[[#This Row],[Player 3]]&amp;" / "&amp;Schedules[[#This Row],[Player 4]])</f>
        <v>0</v>
      </c>
      <c r="Q140" s="78">
        <v>10</v>
      </c>
      <c r="R140" s="78" t="str">
        <f t="shared" ref="R140:R203" si="34">IF(Q140=15,"WIN","LOST")</f>
        <v>LOST</v>
      </c>
      <c r="S140" s="61">
        <f>Input!B36</f>
        <v>0</v>
      </c>
      <c r="T140" s="61">
        <f>Input!C36</f>
        <v>0</v>
      </c>
    </row>
    <row r="141" spans="1:20" hidden="1" x14ac:dyDescent="0.3">
      <c r="A141" s="109" t="s">
        <v>55</v>
      </c>
      <c r="B141" s="78" t="str">
        <f t="shared" si="32"/>
        <v>Adda</v>
      </c>
      <c r="C141" s="79">
        <f>C140</f>
        <v>46117.291666666657</v>
      </c>
      <c r="D141" s="79">
        <f>D140</f>
        <v>46117.298611111102</v>
      </c>
      <c r="E141" s="78" t="str">
        <f>E140</f>
        <v>Group</v>
      </c>
      <c r="F141" s="78">
        <v>2</v>
      </c>
      <c r="G141" s="78">
        <v>2</v>
      </c>
      <c r="H141" s="78" t="str">
        <f ca="1">IF(OR(S141="",T141=""),"",IFERROR(_xludf.XLOOKUP(S141,'Registrations'!#REF!,'Registrations'!#REF!,_xludf.XLOOKUP(S141,'Registrations'!$B$4:$B$211,'Registrations'!$E$4:$E$211,S141)),S141) &amp; " vs " &amp; IFERROR(_xludf.XLOOKUP(T141,'Registrations'!#REF!,'Registrations'!#REF!,_xludf.XLOOKUP(T141,'Registrations'!$B$4:$B$211,'Registrations'!$E$4:$E$211,T141)),T141))</f>
        <v>0 vs 0</v>
      </c>
      <c r="I141" s="78"/>
      <c r="J141" s="78"/>
      <c r="K141" s="78">
        <f>IF(Schedules[[#This Row],[Player 2]]="",Schedules[[#This Row],[Player 1]],Schedules[[#This Row],[Player 1]]&amp;" / "&amp;Schedules[[#This Row],[Player 2]])</f>
        <v>0</v>
      </c>
      <c r="L141" s="78">
        <v>15</v>
      </c>
      <c r="M141" s="78" t="str">
        <f t="shared" si="33"/>
        <v>WIN</v>
      </c>
      <c r="N141" s="78"/>
      <c r="O141" s="78"/>
      <c r="P141" s="78">
        <f>IF(Schedules[[#This Row],[Player 4]]="",Schedules[[#This Row],[Player 3]],Schedules[[#This Row],[Player 3]]&amp;" / "&amp;Schedules[[#This Row],[Player 4]])</f>
        <v>0</v>
      </c>
      <c r="Q141" s="78">
        <v>10</v>
      </c>
      <c r="R141" s="78" t="str">
        <f t="shared" si="34"/>
        <v>LOST</v>
      </c>
      <c r="S141" s="61">
        <f>Input!B37</f>
        <v>0</v>
      </c>
      <c r="T141" s="61">
        <f>Input!C37</f>
        <v>0</v>
      </c>
    </row>
    <row r="142" spans="1:20" hidden="1" x14ac:dyDescent="0.3">
      <c r="A142" s="109" t="s">
        <v>55</v>
      </c>
      <c r="B142" s="78" t="str">
        <f t="shared" si="32"/>
        <v>Adda</v>
      </c>
      <c r="C142" s="79">
        <f>D141+TIME(0,3,0)</f>
        <v>46117.300694444435</v>
      </c>
      <c r="D142" s="79">
        <f>C142+TIME(0,10,0)</f>
        <v>46117.30763888888</v>
      </c>
      <c r="E142" s="78" t="str">
        <f t="shared" ref="E142:E151" si="35">E141</f>
        <v>Group</v>
      </c>
      <c r="F142" s="78">
        <f t="shared" ref="F142:G151" si="36">F140</f>
        <v>1</v>
      </c>
      <c r="G142" s="78">
        <f t="shared" si="36"/>
        <v>1</v>
      </c>
      <c r="H142" s="78" t="str">
        <f ca="1">IF(OR(S142="",T142=""),"",IFERROR(_xludf.XLOOKUP(S142,'Registrations'!#REF!,'Registrations'!#REF!,_xludf.XLOOKUP(S142,'Registrations'!$B$4:$B$211,'Registrations'!$E$4:$E$211,S142)),S142) &amp; " vs " &amp; IFERROR(_xludf.XLOOKUP(T142,'Registrations'!#REF!,'Registrations'!#REF!,_xludf.XLOOKUP(T142,'Registrations'!$B$4:$B$211,'Registrations'!$E$4:$E$211,T142)),T142))</f>
        <v>0 vs 0</v>
      </c>
      <c r="I142" s="78"/>
      <c r="J142" s="78"/>
      <c r="K142" s="78">
        <f>IF(Schedules[[#This Row],[Player 2]]="",Schedules[[#This Row],[Player 1]],Schedules[[#This Row],[Player 1]]&amp;" / "&amp;Schedules[[#This Row],[Player 2]])</f>
        <v>0</v>
      </c>
      <c r="L142" s="78">
        <v>15</v>
      </c>
      <c r="M142" s="78" t="str">
        <f t="shared" si="33"/>
        <v>WIN</v>
      </c>
      <c r="N142" s="78"/>
      <c r="O142" s="78"/>
      <c r="P142" s="78">
        <f>IF(Schedules[[#This Row],[Player 4]]="",Schedules[[#This Row],[Player 3]],Schedules[[#This Row],[Player 3]]&amp;" / "&amp;Schedules[[#This Row],[Player 4]])</f>
        <v>0</v>
      </c>
      <c r="Q142" s="78">
        <v>10</v>
      </c>
      <c r="R142" s="78" t="str">
        <f t="shared" si="34"/>
        <v>LOST</v>
      </c>
      <c r="S142" s="61">
        <f>Input!D36</f>
        <v>0</v>
      </c>
      <c r="T142" s="61">
        <f>Input!E36</f>
        <v>0</v>
      </c>
    </row>
    <row r="143" spans="1:20" hidden="1" x14ac:dyDescent="0.3">
      <c r="A143" s="109" t="s">
        <v>55</v>
      </c>
      <c r="B143" s="78" t="str">
        <f t="shared" si="32"/>
        <v>Adda</v>
      </c>
      <c r="C143" s="79">
        <f>C142</f>
        <v>46117.300694444435</v>
      </c>
      <c r="D143" s="79">
        <f>D142</f>
        <v>46117.30763888888</v>
      </c>
      <c r="E143" s="78" t="str">
        <f t="shared" si="35"/>
        <v>Group</v>
      </c>
      <c r="F143" s="78">
        <f t="shared" si="36"/>
        <v>2</v>
      </c>
      <c r="G143" s="78">
        <f t="shared" si="36"/>
        <v>2</v>
      </c>
      <c r="H143" s="78" t="str">
        <f ca="1">IF(OR(S143="",T143=""),"",IFERROR(_xludf.XLOOKUP(S143,'Registrations'!#REF!,'Registrations'!#REF!,_xludf.XLOOKUP(S143,'Registrations'!$B$4:$B$211,'Registrations'!$E$4:$E$211,S143)),S143) &amp; " vs " &amp; IFERROR(_xludf.XLOOKUP(T143,'Registrations'!#REF!,'Registrations'!#REF!,_xludf.XLOOKUP(T143,'Registrations'!$B$4:$B$211,'Registrations'!$E$4:$E$211,T143)),T143))</f>
        <v>0 vs 0</v>
      </c>
      <c r="I143" s="78"/>
      <c r="J143" s="78"/>
      <c r="K143" s="78">
        <f>IF(Schedules[[#This Row],[Player 2]]="",Schedules[[#This Row],[Player 1]],Schedules[[#This Row],[Player 1]]&amp;" / "&amp;Schedules[[#This Row],[Player 2]])</f>
        <v>0</v>
      </c>
      <c r="L143" s="78">
        <v>15</v>
      </c>
      <c r="M143" s="78" t="str">
        <f t="shared" si="33"/>
        <v>WIN</v>
      </c>
      <c r="N143" s="78"/>
      <c r="O143" s="78"/>
      <c r="P143" s="78">
        <f>IF(Schedules[[#This Row],[Player 4]]="",Schedules[[#This Row],[Player 3]],Schedules[[#This Row],[Player 3]]&amp;" / "&amp;Schedules[[#This Row],[Player 4]])</f>
        <v>0</v>
      </c>
      <c r="Q143" s="78">
        <v>10</v>
      </c>
      <c r="R143" s="78" t="str">
        <f t="shared" si="34"/>
        <v>LOST</v>
      </c>
      <c r="S143" s="61">
        <f>Input!D37</f>
        <v>0</v>
      </c>
      <c r="T143" s="61">
        <f>Input!E37</f>
        <v>0</v>
      </c>
    </row>
    <row r="144" spans="1:20" hidden="1" x14ac:dyDescent="0.3">
      <c r="A144" s="109" t="s">
        <v>55</v>
      </c>
      <c r="B144" s="78" t="str">
        <f t="shared" si="32"/>
        <v>Adda</v>
      </c>
      <c r="C144" s="79">
        <f>D143+TIME(0,3,0)</f>
        <v>46117.309722222213</v>
      </c>
      <c r="D144" s="79">
        <f>C144+TIME(0,10,0)</f>
        <v>46117.316666666658</v>
      </c>
      <c r="E144" s="78" t="str">
        <f t="shared" si="35"/>
        <v>Group</v>
      </c>
      <c r="F144" s="78">
        <f t="shared" si="36"/>
        <v>1</v>
      </c>
      <c r="G144" s="78">
        <f t="shared" si="36"/>
        <v>1</v>
      </c>
      <c r="H144" s="78" t="str">
        <f ca="1">IF(OR(S144="",T144=""),"",IFERROR(_xludf.XLOOKUP(S144,'Registrations'!#REF!,'Registrations'!#REF!,_xludf.XLOOKUP(S144,'Registrations'!$B$4:$B$211,'Registrations'!$E$4:$E$211,S144)),S144) &amp; " vs " &amp; IFERROR(_xludf.XLOOKUP(T144,'Registrations'!#REF!,'Registrations'!#REF!,_xludf.XLOOKUP(T144,'Registrations'!$B$4:$B$211,'Registrations'!$E$4:$E$211,T144)),T144))</f>
        <v>0 vs 0</v>
      </c>
      <c r="I144" s="78"/>
      <c r="J144" s="78"/>
      <c r="K144" s="78">
        <f>IF(Schedules[[#This Row],[Player 2]]="",Schedules[[#This Row],[Player 1]],Schedules[[#This Row],[Player 1]]&amp;" / "&amp;Schedules[[#This Row],[Player 2]])</f>
        <v>0</v>
      </c>
      <c r="L144" s="78">
        <v>15</v>
      </c>
      <c r="M144" s="78" t="str">
        <f t="shared" si="33"/>
        <v>WIN</v>
      </c>
      <c r="N144" s="78"/>
      <c r="O144" s="78"/>
      <c r="P144" s="78">
        <f>IF(Schedules[[#This Row],[Player 4]]="",Schedules[[#This Row],[Player 3]],Schedules[[#This Row],[Player 3]]&amp;" / "&amp;Schedules[[#This Row],[Player 4]])</f>
        <v>0</v>
      </c>
      <c r="Q144" s="78">
        <v>10</v>
      </c>
      <c r="R144" s="78" t="str">
        <f t="shared" si="34"/>
        <v>LOST</v>
      </c>
      <c r="S144" s="61">
        <f>Input!B36</f>
        <v>0</v>
      </c>
      <c r="T144" s="61">
        <f>Input!D36</f>
        <v>0</v>
      </c>
    </row>
    <row r="145" spans="1:20" hidden="1" x14ac:dyDescent="0.3">
      <c r="A145" s="109" t="s">
        <v>55</v>
      </c>
      <c r="B145" s="78" t="str">
        <f t="shared" si="32"/>
        <v>Adda</v>
      </c>
      <c r="C145" s="79">
        <f>C144</f>
        <v>46117.309722222213</v>
      </c>
      <c r="D145" s="79">
        <f>D144</f>
        <v>46117.316666666658</v>
      </c>
      <c r="E145" s="78" t="str">
        <f t="shared" si="35"/>
        <v>Group</v>
      </c>
      <c r="F145" s="78">
        <f t="shared" si="36"/>
        <v>2</v>
      </c>
      <c r="G145" s="78">
        <f t="shared" si="36"/>
        <v>2</v>
      </c>
      <c r="H145" s="78" t="str">
        <f ca="1">IF(OR(S145="",T145=""),"",IFERROR(_xludf.XLOOKUP(S145,'Registrations'!#REF!,'Registrations'!#REF!,_xludf.XLOOKUP(S145,'Registrations'!$B$4:$B$211,'Registrations'!$E$4:$E$211,S145)),S145) &amp; " vs " &amp; IFERROR(_xludf.XLOOKUP(T145,'Registrations'!#REF!,'Registrations'!#REF!,_xludf.XLOOKUP(T145,'Registrations'!$B$4:$B$211,'Registrations'!$E$4:$E$211,T145)),T145))</f>
        <v>0 vs 0</v>
      </c>
      <c r="I145" s="78"/>
      <c r="J145" s="78"/>
      <c r="K145" s="78">
        <f>IF(Schedules[[#This Row],[Player 2]]="",Schedules[[#This Row],[Player 1]],Schedules[[#This Row],[Player 1]]&amp;" / "&amp;Schedules[[#This Row],[Player 2]])</f>
        <v>0</v>
      </c>
      <c r="L145" s="78">
        <v>15</v>
      </c>
      <c r="M145" s="78" t="str">
        <f t="shared" si="33"/>
        <v>WIN</v>
      </c>
      <c r="N145" s="78"/>
      <c r="O145" s="78"/>
      <c r="P145" s="78">
        <f>IF(Schedules[[#This Row],[Player 4]]="",Schedules[[#This Row],[Player 3]],Schedules[[#This Row],[Player 3]]&amp;" / "&amp;Schedules[[#This Row],[Player 4]])</f>
        <v>0</v>
      </c>
      <c r="Q145" s="78">
        <v>10</v>
      </c>
      <c r="R145" s="78" t="str">
        <f t="shared" si="34"/>
        <v>LOST</v>
      </c>
      <c r="S145" s="61">
        <f>Input!B37</f>
        <v>0</v>
      </c>
      <c r="T145" s="61">
        <f>Input!D37</f>
        <v>0</v>
      </c>
    </row>
    <row r="146" spans="1:20" hidden="1" x14ac:dyDescent="0.3">
      <c r="A146" s="109" t="s">
        <v>55</v>
      </c>
      <c r="B146" s="78" t="str">
        <f t="shared" si="32"/>
        <v>Adda</v>
      </c>
      <c r="C146" s="79">
        <f>D145+TIME(0,3,0)</f>
        <v>46117.318749999991</v>
      </c>
      <c r="D146" s="79">
        <f>C146+TIME(0,10,0)</f>
        <v>46117.325694444437</v>
      </c>
      <c r="E146" s="78" t="str">
        <f t="shared" si="35"/>
        <v>Group</v>
      </c>
      <c r="F146" s="78">
        <f t="shared" si="36"/>
        <v>1</v>
      </c>
      <c r="G146" s="78">
        <f t="shared" si="36"/>
        <v>1</v>
      </c>
      <c r="H146" s="78" t="str">
        <f ca="1">IF(OR(S146="",T146=""),"",IFERROR(_xludf.XLOOKUP(S146,'Registrations'!#REF!,'Registrations'!#REF!,_xludf.XLOOKUP(S146,'Registrations'!$B$4:$B$211,'Registrations'!$E$4:$E$211,S146)),S146) &amp; " vs " &amp; IFERROR(_xludf.XLOOKUP(T146,'Registrations'!#REF!,'Registrations'!#REF!,_xludf.XLOOKUP(T146,'Registrations'!$B$4:$B$211,'Registrations'!$E$4:$E$211,T146)),T146))</f>
        <v>0 vs 0</v>
      </c>
      <c r="I146" s="78"/>
      <c r="J146" s="78"/>
      <c r="K146" s="78">
        <f>IF(Schedules[[#This Row],[Player 2]]="",Schedules[[#This Row],[Player 1]],Schedules[[#This Row],[Player 1]]&amp;" / "&amp;Schedules[[#This Row],[Player 2]])</f>
        <v>0</v>
      </c>
      <c r="L146" s="78">
        <v>15</v>
      </c>
      <c r="M146" s="78" t="str">
        <f t="shared" si="33"/>
        <v>WIN</v>
      </c>
      <c r="N146" s="78"/>
      <c r="O146" s="78"/>
      <c r="P146" s="78">
        <f>IF(Schedules[[#This Row],[Player 4]]="",Schedules[[#This Row],[Player 3]],Schedules[[#This Row],[Player 3]]&amp;" / "&amp;Schedules[[#This Row],[Player 4]])</f>
        <v>0</v>
      </c>
      <c r="Q146" s="78">
        <v>10</v>
      </c>
      <c r="R146" s="78" t="str">
        <f t="shared" si="34"/>
        <v>LOST</v>
      </c>
      <c r="S146" s="61">
        <f>Input!C36</f>
        <v>0</v>
      </c>
      <c r="T146" s="61">
        <f>Input!E36</f>
        <v>0</v>
      </c>
    </row>
    <row r="147" spans="1:20" hidden="1" x14ac:dyDescent="0.3">
      <c r="A147" s="109" t="s">
        <v>55</v>
      </c>
      <c r="B147" s="78" t="str">
        <f t="shared" si="32"/>
        <v>Adda</v>
      </c>
      <c r="C147" s="79">
        <f>C146</f>
        <v>46117.318749999991</v>
      </c>
      <c r="D147" s="79">
        <f>D146</f>
        <v>46117.325694444437</v>
      </c>
      <c r="E147" s="78" t="str">
        <f t="shared" si="35"/>
        <v>Group</v>
      </c>
      <c r="F147" s="78">
        <f t="shared" si="36"/>
        <v>2</v>
      </c>
      <c r="G147" s="78">
        <f t="shared" si="36"/>
        <v>2</v>
      </c>
      <c r="H147" s="78" t="str">
        <f ca="1">IF(OR(S147="",T147=""),"",IFERROR(_xludf.XLOOKUP(S147,'Registrations'!#REF!,'Registrations'!#REF!,_xludf.XLOOKUP(S147,'Registrations'!$B$4:$B$211,'Registrations'!$E$4:$E$211,S147)),S147) &amp; " vs " &amp; IFERROR(_xludf.XLOOKUP(T147,'Registrations'!#REF!,'Registrations'!#REF!,_xludf.XLOOKUP(T147,'Registrations'!$B$4:$B$211,'Registrations'!$E$4:$E$211,T147)),T147))</f>
        <v>0 vs 0</v>
      </c>
      <c r="I147" s="78"/>
      <c r="J147" s="78"/>
      <c r="K147" s="78">
        <f>IF(Schedules[[#This Row],[Player 2]]="",Schedules[[#This Row],[Player 1]],Schedules[[#This Row],[Player 1]]&amp;" / "&amp;Schedules[[#This Row],[Player 2]])</f>
        <v>0</v>
      </c>
      <c r="L147" s="78">
        <v>15</v>
      </c>
      <c r="M147" s="78" t="str">
        <f t="shared" si="33"/>
        <v>WIN</v>
      </c>
      <c r="N147" s="78"/>
      <c r="O147" s="78"/>
      <c r="P147" s="78">
        <f>IF(Schedules[[#This Row],[Player 4]]="",Schedules[[#This Row],[Player 3]],Schedules[[#This Row],[Player 3]]&amp;" / "&amp;Schedules[[#This Row],[Player 4]])</f>
        <v>0</v>
      </c>
      <c r="Q147" s="78">
        <v>10</v>
      </c>
      <c r="R147" s="78" t="str">
        <f t="shared" si="34"/>
        <v>LOST</v>
      </c>
      <c r="S147" s="61">
        <f>Input!C37</f>
        <v>0</v>
      </c>
      <c r="T147" s="61">
        <f>Input!E37</f>
        <v>0</v>
      </c>
    </row>
    <row r="148" spans="1:20" hidden="1" x14ac:dyDescent="0.3">
      <c r="A148" s="109" t="s">
        <v>55</v>
      </c>
      <c r="B148" s="78" t="str">
        <f t="shared" si="32"/>
        <v>Adda</v>
      </c>
      <c r="C148" s="79">
        <f>D147+TIME(0,3,0)</f>
        <v>46117.327777777769</v>
      </c>
      <c r="D148" s="79">
        <f>C148+TIME(0,10,0)</f>
        <v>46117.334722222215</v>
      </c>
      <c r="E148" s="78" t="str">
        <f t="shared" si="35"/>
        <v>Group</v>
      </c>
      <c r="F148" s="78">
        <f t="shared" si="36"/>
        <v>1</v>
      </c>
      <c r="G148" s="78">
        <f t="shared" si="36"/>
        <v>1</v>
      </c>
      <c r="H148" s="78" t="str">
        <f ca="1">IF(OR(S148="",T148=""),"",IFERROR(_xludf.XLOOKUP(S148,'Registrations'!#REF!,'Registrations'!#REF!,_xludf.XLOOKUP(S148,'Registrations'!$B$4:$B$211,'Registrations'!$E$4:$E$211,S148)),S148) &amp; " vs " &amp; IFERROR(_xludf.XLOOKUP(T148,'Registrations'!#REF!,'Registrations'!#REF!,_xludf.XLOOKUP(T148,'Registrations'!$B$4:$B$211,'Registrations'!$E$4:$E$211,T148)),T148))</f>
        <v>0 vs 0</v>
      </c>
      <c r="I148" s="78"/>
      <c r="J148" s="78"/>
      <c r="K148" s="78">
        <f>IF(Schedules[[#This Row],[Player 2]]="",Schedules[[#This Row],[Player 1]],Schedules[[#This Row],[Player 1]]&amp;" / "&amp;Schedules[[#This Row],[Player 2]])</f>
        <v>0</v>
      </c>
      <c r="L148" s="78">
        <v>15</v>
      </c>
      <c r="M148" s="78" t="str">
        <f t="shared" si="33"/>
        <v>WIN</v>
      </c>
      <c r="N148" s="78"/>
      <c r="O148" s="78"/>
      <c r="P148" s="78">
        <f>IF(Schedules[[#This Row],[Player 4]]="",Schedules[[#This Row],[Player 3]],Schedules[[#This Row],[Player 3]]&amp;" / "&amp;Schedules[[#This Row],[Player 4]])</f>
        <v>0</v>
      </c>
      <c r="Q148" s="78">
        <v>10</v>
      </c>
      <c r="R148" s="78" t="str">
        <f t="shared" si="34"/>
        <v>LOST</v>
      </c>
      <c r="S148" s="61">
        <f>Input!B36</f>
        <v>0</v>
      </c>
      <c r="T148" s="61">
        <f>Input!E36</f>
        <v>0</v>
      </c>
    </row>
    <row r="149" spans="1:20" hidden="1" x14ac:dyDescent="0.3">
      <c r="A149" s="109" t="s">
        <v>55</v>
      </c>
      <c r="B149" s="78" t="str">
        <f t="shared" si="32"/>
        <v>Adda</v>
      </c>
      <c r="C149" s="79">
        <f>C148</f>
        <v>46117.327777777769</v>
      </c>
      <c r="D149" s="79">
        <f>D148</f>
        <v>46117.334722222215</v>
      </c>
      <c r="E149" s="78" t="str">
        <f t="shared" si="35"/>
        <v>Group</v>
      </c>
      <c r="F149" s="78">
        <f t="shared" si="36"/>
        <v>2</v>
      </c>
      <c r="G149" s="78">
        <f t="shared" si="36"/>
        <v>2</v>
      </c>
      <c r="H149" s="78" t="str">
        <f ca="1">IF(OR(S149="",T149=""),"",IFERROR(_xludf.XLOOKUP(S149,'Registrations'!#REF!,'Registrations'!#REF!,_xludf.XLOOKUP(S149,'Registrations'!$B$4:$B$211,'Registrations'!$E$4:$E$211,S149)),S149) &amp; " vs " &amp; IFERROR(_xludf.XLOOKUP(T149,'Registrations'!#REF!,'Registrations'!#REF!,_xludf.XLOOKUP(T149,'Registrations'!$B$4:$B$211,'Registrations'!$E$4:$E$211,T149)),T149))</f>
        <v>0 vs 0</v>
      </c>
      <c r="I149" s="78"/>
      <c r="J149" s="78"/>
      <c r="K149" s="78">
        <f>IF(Schedules[[#This Row],[Player 2]]="",Schedules[[#This Row],[Player 1]],Schedules[[#This Row],[Player 1]]&amp;" / "&amp;Schedules[[#This Row],[Player 2]])</f>
        <v>0</v>
      </c>
      <c r="L149" s="78">
        <v>15</v>
      </c>
      <c r="M149" s="78" t="str">
        <f t="shared" si="33"/>
        <v>WIN</v>
      </c>
      <c r="N149" s="78"/>
      <c r="O149" s="78"/>
      <c r="P149" s="78">
        <f>IF(Schedules[[#This Row],[Player 4]]="",Schedules[[#This Row],[Player 3]],Schedules[[#This Row],[Player 3]]&amp;" / "&amp;Schedules[[#This Row],[Player 4]])</f>
        <v>0</v>
      </c>
      <c r="Q149" s="78">
        <v>10</v>
      </c>
      <c r="R149" s="78" t="str">
        <f t="shared" si="34"/>
        <v>LOST</v>
      </c>
      <c r="S149" s="61">
        <f>Input!B37</f>
        <v>0</v>
      </c>
      <c r="T149" s="61">
        <f>Input!E37</f>
        <v>0</v>
      </c>
    </row>
    <row r="150" spans="1:20" hidden="1" x14ac:dyDescent="0.3">
      <c r="A150" s="109" t="s">
        <v>55</v>
      </c>
      <c r="B150" s="78" t="str">
        <f t="shared" si="32"/>
        <v>Adda</v>
      </c>
      <c r="C150" s="79">
        <f>D149+TIME(0,3,0)</f>
        <v>46117.336805555547</v>
      </c>
      <c r="D150" s="79">
        <f>C150+TIME(0,10,0)</f>
        <v>46117.343749999993</v>
      </c>
      <c r="E150" s="78" t="str">
        <f t="shared" si="35"/>
        <v>Group</v>
      </c>
      <c r="F150" s="78">
        <f t="shared" si="36"/>
        <v>1</v>
      </c>
      <c r="G150" s="78">
        <f t="shared" si="36"/>
        <v>1</v>
      </c>
      <c r="H150" s="78" t="str">
        <f ca="1">IF(OR(S150="",T150=""),"",IFERROR(_xludf.XLOOKUP(S150,'Registrations'!#REF!,'Registrations'!#REF!,_xludf.XLOOKUP(S150,'Registrations'!$B$4:$B$211,'Registrations'!$E$4:$E$211,S150)),S150) &amp; " vs " &amp; IFERROR(_xludf.XLOOKUP(T150,'Registrations'!#REF!,'Registrations'!#REF!,_xludf.XLOOKUP(T150,'Registrations'!$B$4:$B$211,'Registrations'!$E$4:$E$211,T150)),T150))</f>
        <v>0 vs 0</v>
      </c>
      <c r="I150" s="78"/>
      <c r="J150" s="78"/>
      <c r="K150" s="78">
        <f>IF(Schedules[[#This Row],[Player 2]]="",Schedules[[#This Row],[Player 1]],Schedules[[#This Row],[Player 1]]&amp;" / "&amp;Schedules[[#This Row],[Player 2]])</f>
        <v>0</v>
      </c>
      <c r="L150" s="78">
        <v>15</v>
      </c>
      <c r="M150" s="78" t="str">
        <f t="shared" si="33"/>
        <v>WIN</v>
      </c>
      <c r="N150" s="78"/>
      <c r="O150" s="78"/>
      <c r="P150" s="78">
        <f>IF(Schedules[[#This Row],[Player 4]]="",Schedules[[#This Row],[Player 3]],Schedules[[#This Row],[Player 3]]&amp;" / "&amp;Schedules[[#This Row],[Player 4]])</f>
        <v>0</v>
      </c>
      <c r="Q150" s="78">
        <v>10</v>
      </c>
      <c r="R150" s="78" t="str">
        <f t="shared" si="34"/>
        <v>LOST</v>
      </c>
      <c r="S150" s="61">
        <f>Input!C36</f>
        <v>0</v>
      </c>
      <c r="T150" s="61">
        <f>Input!D36</f>
        <v>0</v>
      </c>
    </row>
    <row r="151" spans="1:20" hidden="1" x14ac:dyDescent="0.3">
      <c r="A151" s="109" t="s">
        <v>55</v>
      </c>
      <c r="B151" s="78" t="str">
        <f t="shared" si="32"/>
        <v>Adda</v>
      </c>
      <c r="C151" s="79">
        <f>C150</f>
        <v>46117.336805555547</v>
      </c>
      <c r="D151" s="79">
        <f>D150</f>
        <v>46117.343749999993</v>
      </c>
      <c r="E151" s="78" t="str">
        <f t="shared" si="35"/>
        <v>Group</v>
      </c>
      <c r="F151" s="78">
        <f t="shared" si="36"/>
        <v>2</v>
      </c>
      <c r="G151" s="78">
        <f t="shared" si="36"/>
        <v>2</v>
      </c>
      <c r="H151" s="78" t="str">
        <f ca="1">IF(OR(S151="",T151=""),"",IFERROR(_xludf.XLOOKUP(S151,'Registrations'!#REF!,'Registrations'!#REF!,_xludf.XLOOKUP(S151,'Registrations'!$B$4:$B$211,'Registrations'!$E$4:$E$211,S151)),S151) &amp; " vs " &amp; IFERROR(_xludf.XLOOKUP(T151,'Registrations'!#REF!,'Registrations'!#REF!,_xludf.XLOOKUP(T151,'Registrations'!$B$4:$B$211,'Registrations'!$E$4:$E$211,T151)),T151))</f>
        <v>0 vs 0</v>
      </c>
      <c r="I151" s="78"/>
      <c r="J151" s="78"/>
      <c r="K151" s="78">
        <f>IF(Schedules[[#This Row],[Player 2]]="",Schedules[[#This Row],[Player 1]],Schedules[[#This Row],[Player 1]]&amp;" / "&amp;Schedules[[#This Row],[Player 2]])</f>
        <v>0</v>
      </c>
      <c r="L151" s="78">
        <v>15</v>
      </c>
      <c r="M151" s="78" t="str">
        <f t="shared" si="33"/>
        <v>WIN</v>
      </c>
      <c r="N151" s="78"/>
      <c r="O151" s="78"/>
      <c r="P151" s="78">
        <f>IF(Schedules[[#This Row],[Player 4]]="",Schedules[[#This Row],[Player 3]],Schedules[[#This Row],[Player 3]]&amp;" / "&amp;Schedules[[#This Row],[Player 4]])</f>
        <v>0</v>
      </c>
      <c r="Q151" s="78">
        <v>10</v>
      </c>
      <c r="R151" s="78" t="str">
        <f t="shared" si="34"/>
        <v>LOST</v>
      </c>
      <c r="S151" s="61">
        <f>Input!C37</f>
        <v>0</v>
      </c>
      <c r="T151" s="61">
        <f>Input!D37</f>
        <v>0</v>
      </c>
    </row>
    <row r="152" spans="1:20" hidden="1" x14ac:dyDescent="0.3">
      <c r="A152" s="110" t="s">
        <v>55</v>
      </c>
      <c r="B152" s="76" t="str">
        <f t="shared" si="32"/>
        <v>Adda</v>
      </c>
      <c r="C152" s="77">
        <f>D151+TIME(0,3,0)</f>
        <v>46117.345833333326</v>
      </c>
      <c r="D152" s="77">
        <f>C152+TIME(0,10,0)</f>
        <v>46117.352777777771</v>
      </c>
      <c r="E152" s="76" t="s">
        <v>432</v>
      </c>
      <c r="F152" s="76">
        <f t="shared" ref="F152:F188" si="37">F150</f>
        <v>1</v>
      </c>
      <c r="G152" s="76" t="s">
        <v>422</v>
      </c>
      <c r="H152" s="76" t="str">
        <f ca="1">IF(OR(S152="",T152=""),"",IFERROR(_xludf.XLOOKUP(S152,'Registrations'!#REF!,'Registrations'!#REF!,_xludf.XLOOKUP(S152,'Registrations'!$B$4:$B$211,'Registrations'!$E$4:$E$211,S152)),S152) &amp; " vs " &amp; IFERROR(_xludf.XLOOKUP(T152,'Registrations'!#REF!,'Registrations'!#REF!,_xludf.XLOOKUP(T152,'Registrations'!$B$4:$B$211,'Registrations'!$E$4:$E$211,T152)),T152))</f>
        <v>0 vs 0</v>
      </c>
      <c r="I152" s="76"/>
      <c r="J152" s="76"/>
      <c r="K152" s="76">
        <f>IF(Schedules[[#This Row],[Player 2]]="",Schedules[[#This Row],[Player 1]],Schedules[[#This Row],[Player 1]]&amp;" / "&amp;Schedules[[#This Row],[Player 2]])</f>
        <v>0</v>
      </c>
      <c r="L152" s="76">
        <v>15</v>
      </c>
      <c r="M152" s="76" t="str">
        <f t="shared" si="33"/>
        <v>WIN</v>
      </c>
      <c r="N152" s="76"/>
      <c r="O152" s="76"/>
      <c r="P152" s="76">
        <f>IF(Schedules[[#This Row],[Player 4]]="",Schedules[[#This Row],[Player 3]],Schedules[[#This Row],[Player 3]]&amp;" / "&amp;Schedules[[#This Row],[Player 4]])</f>
        <v>0</v>
      </c>
      <c r="Q152" s="76">
        <v>10</v>
      </c>
      <c r="R152" s="76" t="str">
        <f t="shared" si="34"/>
        <v>LOST</v>
      </c>
      <c r="S152" s="61">
        <f>Input!H36</f>
        <v>0</v>
      </c>
      <c r="T152" s="61">
        <f>Input!I36</f>
        <v>0</v>
      </c>
    </row>
    <row r="153" spans="1:20" hidden="1" x14ac:dyDescent="0.3">
      <c r="A153" s="110" t="s">
        <v>55</v>
      </c>
      <c r="B153" s="76" t="str">
        <f t="shared" si="32"/>
        <v>Adda</v>
      </c>
      <c r="C153" s="77">
        <f>C152</f>
        <v>46117.345833333326</v>
      </c>
      <c r="D153" s="77">
        <f>D152</f>
        <v>46117.352777777771</v>
      </c>
      <c r="E153" s="76" t="str">
        <f>E152</f>
        <v>Pre-Q</v>
      </c>
      <c r="F153" s="76">
        <f t="shared" si="37"/>
        <v>2</v>
      </c>
      <c r="G153" s="76" t="str">
        <f>G152</f>
        <v>1 vs 2</v>
      </c>
      <c r="H153" s="76" t="str">
        <f ca="1">IF(OR(S153="",T153=""),"",IFERROR(_xludf.XLOOKUP(S153,'Registrations'!#REF!,'Registrations'!#REF!,_xludf.XLOOKUP(S153,'Registrations'!$B$4:$B$211,'Registrations'!$E$4:$E$211,S153)),S153) &amp; " vs " &amp; IFERROR(_xludf.XLOOKUP(T153,'Registrations'!#REF!,'Registrations'!#REF!,_xludf.XLOOKUP(T153,'Registrations'!$B$4:$B$211,'Registrations'!$E$4:$E$211,T153)),T153))</f>
        <v>0 vs 0</v>
      </c>
      <c r="I153" s="76"/>
      <c r="J153" s="76"/>
      <c r="K153" s="76">
        <f>IF(Schedules[[#This Row],[Player 2]]="",Schedules[[#This Row],[Player 1]],Schedules[[#This Row],[Player 1]]&amp;" / "&amp;Schedules[[#This Row],[Player 2]])</f>
        <v>0</v>
      </c>
      <c r="L153" s="76">
        <v>15</v>
      </c>
      <c r="M153" s="76" t="str">
        <f t="shared" si="33"/>
        <v>WIN</v>
      </c>
      <c r="N153" s="76"/>
      <c r="O153" s="76"/>
      <c r="P153" s="76">
        <f>IF(Schedules[[#This Row],[Player 4]]="",Schedules[[#This Row],[Player 3]],Schedules[[#This Row],[Player 3]]&amp;" / "&amp;Schedules[[#This Row],[Player 4]])</f>
        <v>0</v>
      </c>
      <c r="Q153" s="76">
        <v>10</v>
      </c>
      <c r="R153" s="76" t="str">
        <f t="shared" si="34"/>
        <v>LOST</v>
      </c>
      <c r="S153" s="61">
        <f>Input!H37</f>
        <v>0</v>
      </c>
      <c r="T153" s="61">
        <f>Input!I37</f>
        <v>0</v>
      </c>
    </row>
    <row r="154" spans="1:20" hidden="1" x14ac:dyDescent="0.3">
      <c r="A154" s="109" t="s">
        <v>55</v>
      </c>
      <c r="B154" s="78" t="str">
        <f t="shared" si="32"/>
        <v>Adda</v>
      </c>
      <c r="C154" s="79">
        <f>D153+TIME(0,3,0)</f>
        <v>46117.354861111104</v>
      </c>
      <c r="D154" s="79">
        <f>C154+TIME(0,10,0)</f>
        <v>46117.361805555549</v>
      </c>
      <c r="E154" s="78" t="s">
        <v>433</v>
      </c>
      <c r="F154" s="78">
        <f t="shared" si="37"/>
        <v>1</v>
      </c>
      <c r="G154" s="78">
        <v>3</v>
      </c>
      <c r="H154" s="78" t="str">
        <f ca="1">IF(OR(S154="",T154=""),"",IFERROR(_xludf.XLOOKUP(S154,'Registrations'!#REF!,'Registrations'!#REF!,_xludf.XLOOKUP(S154,'Registrations'!$B$4:$B$211,'Registrations'!$E$4:$E$211,S154)),S154) &amp; " vs " &amp; IFERROR(_xludf.XLOOKUP(T154,'Registrations'!#REF!,'Registrations'!#REF!,_xludf.XLOOKUP(T154,'Registrations'!$B$4:$B$211,'Registrations'!$E$4:$E$211,T154)),T154))</f>
        <v>0 vs 0</v>
      </c>
      <c r="I154" s="78"/>
      <c r="J154" s="78"/>
      <c r="K154" s="78">
        <f>IF(Schedules[[#This Row],[Player 2]]="",Schedules[[#This Row],[Player 1]],Schedules[[#This Row],[Player 1]]&amp;" / "&amp;Schedules[[#This Row],[Player 2]])</f>
        <v>0</v>
      </c>
      <c r="L154" s="78">
        <v>15</v>
      </c>
      <c r="M154" s="78" t="str">
        <f t="shared" si="33"/>
        <v>WIN</v>
      </c>
      <c r="N154" s="78"/>
      <c r="O154" s="78"/>
      <c r="P154" s="78">
        <f>IF(Schedules[[#This Row],[Player 4]]="",Schedules[[#This Row],[Player 3]],Schedules[[#This Row],[Player 3]]&amp;" / "&amp;Schedules[[#This Row],[Player 4]])</f>
        <v>0</v>
      </c>
      <c r="Q154" s="78">
        <v>10</v>
      </c>
      <c r="R154" s="78" t="str">
        <f t="shared" si="34"/>
        <v>LOST</v>
      </c>
      <c r="S154" s="61">
        <f>Input!B38</f>
        <v>0</v>
      </c>
      <c r="T154" s="61">
        <f>Input!C38</f>
        <v>0</v>
      </c>
    </row>
    <row r="155" spans="1:20" hidden="1" x14ac:dyDescent="0.3">
      <c r="A155" s="109" t="s">
        <v>55</v>
      </c>
      <c r="B155" s="78" t="str">
        <f t="shared" si="32"/>
        <v>Adda</v>
      </c>
      <c r="C155" s="79">
        <f>C154</f>
        <v>46117.354861111104</v>
      </c>
      <c r="D155" s="79">
        <f>D154</f>
        <v>46117.361805555549</v>
      </c>
      <c r="E155" s="78" t="str">
        <f>E154</f>
        <v>Group</v>
      </c>
      <c r="F155" s="78">
        <f t="shared" si="37"/>
        <v>2</v>
      </c>
      <c r="G155" s="78">
        <v>4</v>
      </c>
      <c r="H155" s="78" t="str">
        <f ca="1">IF(OR(S155="",T155=""),"",IFERROR(_xludf.XLOOKUP(S155,'Registrations'!#REF!,'Registrations'!#REF!,_xludf.XLOOKUP(S155,'Registrations'!$B$4:$B$211,'Registrations'!$E$4:$E$211,S155)),S155) &amp; " vs " &amp; IFERROR(_xludf.XLOOKUP(T155,'Registrations'!#REF!,'Registrations'!#REF!,_xludf.XLOOKUP(T155,'Registrations'!$B$4:$B$211,'Registrations'!$E$4:$E$211,T155)),T155))</f>
        <v>0 vs 0</v>
      </c>
      <c r="I155" s="78"/>
      <c r="J155" s="78"/>
      <c r="K155" s="78">
        <f>IF(Schedules[[#This Row],[Player 2]]="",Schedules[[#This Row],[Player 1]],Schedules[[#This Row],[Player 1]]&amp;" / "&amp;Schedules[[#This Row],[Player 2]])</f>
        <v>0</v>
      </c>
      <c r="L155" s="78">
        <v>15</v>
      </c>
      <c r="M155" s="78" t="str">
        <f t="shared" si="33"/>
        <v>WIN</v>
      </c>
      <c r="N155" s="78"/>
      <c r="O155" s="78"/>
      <c r="P155" s="78">
        <f>IF(Schedules[[#This Row],[Player 4]]="",Schedules[[#This Row],[Player 3]],Schedules[[#This Row],[Player 3]]&amp;" / "&amp;Schedules[[#This Row],[Player 4]])</f>
        <v>0</v>
      </c>
      <c r="Q155" s="78">
        <v>10</v>
      </c>
      <c r="R155" s="78" t="str">
        <f t="shared" si="34"/>
        <v>LOST</v>
      </c>
      <c r="S155" s="61">
        <f>Input!B39</f>
        <v>0</v>
      </c>
      <c r="T155" s="61">
        <f>Input!C39</f>
        <v>0</v>
      </c>
    </row>
    <row r="156" spans="1:20" hidden="1" x14ac:dyDescent="0.3">
      <c r="A156" s="109" t="s">
        <v>55</v>
      </c>
      <c r="B156" s="78" t="str">
        <f t="shared" si="32"/>
        <v>Adda</v>
      </c>
      <c r="C156" s="79">
        <f>D155+TIME(0,3,0)</f>
        <v>46117.363888888882</v>
      </c>
      <c r="D156" s="79">
        <f>C156+TIME(0,10,0)</f>
        <v>46117.370833333327</v>
      </c>
      <c r="E156" s="78" t="str">
        <f t="shared" ref="E156:E165" si="38">E155</f>
        <v>Group</v>
      </c>
      <c r="F156" s="78">
        <f t="shared" si="37"/>
        <v>1</v>
      </c>
      <c r="G156" s="78">
        <f t="shared" ref="G156:G165" si="39">G154</f>
        <v>3</v>
      </c>
      <c r="H156" s="78" t="str">
        <f ca="1">IF(OR(S156="",T156=""),"",IFERROR(_xludf.XLOOKUP(S156,'Registrations'!#REF!,'Registrations'!#REF!,_xludf.XLOOKUP(S156,'Registrations'!$B$4:$B$211,'Registrations'!$E$4:$E$211,S156)),S156) &amp; " vs " &amp; IFERROR(_xludf.XLOOKUP(T156,'Registrations'!#REF!,'Registrations'!#REF!,_xludf.XLOOKUP(T156,'Registrations'!$B$4:$B$211,'Registrations'!$E$4:$E$211,T156)),T156))</f>
        <v>0 vs 0</v>
      </c>
      <c r="I156" s="78"/>
      <c r="J156" s="78"/>
      <c r="K156" s="78">
        <f>IF(Schedules[[#This Row],[Player 2]]="",Schedules[[#This Row],[Player 1]],Schedules[[#This Row],[Player 1]]&amp;" / "&amp;Schedules[[#This Row],[Player 2]])</f>
        <v>0</v>
      </c>
      <c r="L156" s="78">
        <v>15</v>
      </c>
      <c r="M156" s="78" t="str">
        <f t="shared" si="33"/>
        <v>WIN</v>
      </c>
      <c r="N156" s="78"/>
      <c r="O156" s="78"/>
      <c r="P156" s="78">
        <f>IF(Schedules[[#This Row],[Player 4]]="",Schedules[[#This Row],[Player 3]],Schedules[[#This Row],[Player 3]]&amp;" / "&amp;Schedules[[#This Row],[Player 4]])</f>
        <v>0</v>
      </c>
      <c r="Q156" s="78">
        <v>10</v>
      </c>
      <c r="R156" s="78" t="str">
        <f t="shared" si="34"/>
        <v>LOST</v>
      </c>
      <c r="S156" s="61">
        <f>Input!D38</f>
        <v>0</v>
      </c>
      <c r="T156" s="61">
        <f>Input!E38</f>
        <v>0</v>
      </c>
    </row>
    <row r="157" spans="1:20" hidden="1" x14ac:dyDescent="0.3">
      <c r="A157" s="109" t="s">
        <v>55</v>
      </c>
      <c r="B157" s="78" t="str">
        <f t="shared" si="32"/>
        <v>Adda</v>
      </c>
      <c r="C157" s="79">
        <f>C156</f>
        <v>46117.363888888882</v>
      </c>
      <c r="D157" s="79">
        <f>D156</f>
        <v>46117.370833333327</v>
      </c>
      <c r="E157" s="78" t="str">
        <f t="shared" si="38"/>
        <v>Group</v>
      </c>
      <c r="F157" s="78">
        <f t="shared" si="37"/>
        <v>2</v>
      </c>
      <c r="G157" s="78">
        <f t="shared" si="39"/>
        <v>4</v>
      </c>
      <c r="H157" s="78" t="str">
        <f ca="1">IF(OR(S157="",T157=""),"",IFERROR(_xludf.XLOOKUP(S157,'Registrations'!#REF!,'Registrations'!#REF!,_xludf.XLOOKUP(S157,'Registrations'!$B$4:$B$211,'Registrations'!$E$4:$E$211,S157)),S157) &amp; " vs " &amp; IFERROR(_xludf.XLOOKUP(T157,'Registrations'!#REF!,'Registrations'!#REF!,_xludf.XLOOKUP(T157,'Registrations'!$B$4:$B$211,'Registrations'!$E$4:$E$211,T157)),T157))</f>
        <v>0 vs 0</v>
      </c>
      <c r="I157" s="78"/>
      <c r="J157" s="78"/>
      <c r="K157" s="78">
        <f>IF(Schedules[[#This Row],[Player 2]]="",Schedules[[#This Row],[Player 1]],Schedules[[#This Row],[Player 1]]&amp;" / "&amp;Schedules[[#This Row],[Player 2]])</f>
        <v>0</v>
      </c>
      <c r="L157" s="78">
        <v>15</v>
      </c>
      <c r="M157" s="78" t="str">
        <f t="shared" si="33"/>
        <v>WIN</v>
      </c>
      <c r="N157" s="78"/>
      <c r="O157" s="78"/>
      <c r="P157" s="78">
        <f>IF(Schedules[[#This Row],[Player 4]]="",Schedules[[#This Row],[Player 3]],Schedules[[#This Row],[Player 3]]&amp;" / "&amp;Schedules[[#This Row],[Player 4]])</f>
        <v>0</v>
      </c>
      <c r="Q157" s="78">
        <v>10</v>
      </c>
      <c r="R157" s="78" t="str">
        <f t="shared" si="34"/>
        <v>LOST</v>
      </c>
      <c r="S157" s="61">
        <f>Input!D39</f>
        <v>0</v>
      </c>
      <c r="T157" s="61">
        <f>Input!E39</f>
        <v>0</v>
      </c>
    </row>
    <row r="158" spans="1:20" hidden="1" x14ac:dyDescent="0.3">
      <c r="A158" s="109" t="s">
        <v>55</v>
      </c>
      <c r="B158" s="78" t="str">
        <f t="shared" si="32"/>
        <v>Adda</v>
      </c>
      <c r="C158" s="79">
        <f>D157+TIME(0,3,0)</f>
        <v>46117.37291666666</v>
      </c>
      <c r="D158" s="79">
        <f>C158+TIME(0,10,0)</f>
        <v>46117.379861111105</v>
      </c>
      <c r="E158" s="78" t="str">
        <f t="shared" si="38"/>
        <v>Group</v>
      </c>
      <c r="F158" s="78">
        <f t="shared" si="37"/>
        <v>1</v>
      </c>
      <c r="G158" s="78">
        <f t="shared" si="39"/>
        <v>3</v>
      </c>
      <c r="H158" s="78" t="str">
        <f ca="1">IF(OR(S158="",T158=""),"",IFERROR(_xludf.XLOOKUP(S158,'Registrations'!#REF!,'Registrations'!#REF!,_xludf.XLOOKUP(S158,'Registrations'!$B$4:$B$211,'Registrations'!$E$4:$E$211,S158)),S158) &amp; " vs " &amp; IFERROR(_xludf.XLOOKUP(T158,'Registrations'!#REF!,'Registrations'!#REF!,_xludf.XLOOKUP(T158,'Registrations'!$B$4:$B$211,'Registrations'!$E$4:$E$211,T158)),T158))</f>
        <v>0 vs 0</v>
      </c>
      <c r="I158" s="78"/>
      <c r="J158" s="78"/>
      <c r="K158" s="78">
        <f>IF(Schedules[[#This Row],[Player 2]]="",Schedules[[#This Row],[Player 1]],Schedules[[#This Row],[Player 1]]&amp;" / "&amp;Schedules[[#This Row],[Player 2]])</f>
        <v>0</v>
      </c>
      <c r="L158" s="78">
        <v>15</v>
      </c>
      <c r="M158" s="78" t="str">
        <f t="shared" si="33"/>
        <v>WIN</v>
      </c>
      <c r="N158" s="78"/>
      <c r="O158" s="78"/>
      <c r="P158" s="78">
        <f>IF(Schedules[[#This Row],[Player 4]]="",Schedules[[#This Row],[Player 3]],Schedules[[#This Row],[Player 3]]&amp;" / "&amp;Schedules[[#This Row],[Player 4]])</f>
        <v>0</v>
      </c>
      <c r="Q158" s="78">
        <v>10</v>
      </c>
      <c r="R158" s="78" t="str">
        <f t="shared" si="34"/>
        <v>LOST</v>
      </c>
      <c r="S158" s="61">
        <f>Input!B38</f>
        <v>0</v>
      </c>
      <c r="T158" s="61">
        <f>Input!D38</f>
        <v>0</v>
      </c>
    </row>
    <row r="159" spans="1:20" hidden="1" x14ac:dyDescent="0.3">
      <c r="A159" s="109" t="s">
        <v>55</v>
      </c>
      <c r="B159" s="78" t="str">
        <f t="shared" si="32"/>
        <v>Adda</v>
      </c>
      <c r="C159" s="79">
        <f>C158</f>
        <v>46117.37291666666</v>
      </c>
      <c r="D159" s="79">
        <f>D158</f>
        <v>46117.379861111105</v>
      </c>
      <c r="E159" s="78" t="str">
        <f t="shared" si="38"/>
        <v>Group</v>
      </c>
      <c r="F159" s="78">
        <f t="shared" si="37"/>
        <v>2</v>
      </c>
      <c r="G159" s="78">
        <f t="shared" si="39"/>
        <v>4</v>
      </c>
      <c r="H159" s="78" t="str">
        <f ca="1">IF(OR(S159="",T159=""),"",IFERROR(_xludf.XLOOKUP(S159,'Registrations'!#REF!,'Registrations'!#REF!,_xludf.XLOOKUP(S159,'Registrations'!$B$4:$B$211,'Registrations'!$E$4:$E$211,S159)),S159) &amp; " vs " &amp; IFERROR(_xludf.XLOOKUP(T159,'Registrations'!#REF!,'Registrations'!#REF!,_xludf.XLOOKUP(T159,'Registrations'!$B$4:$B$211,'Registrations'!$E$4:$E$211,T159)),T159))</f>
        <v>0 vs 0</v>
      </c>
      <c r="I159" s="78"/>
      <c r="J159" s="78"/>
      <c r="K159" s="78">
        <f>IF(Schedules[[#This Row],[Player 2]]="",Schedules[[#This Row],[Player 1]],Schedules[[#This Row],[Player 1]]&amp;" / "&amp;Schedules[[#This Row],[Player 2]])</f>
        <v>0</v>
      </c>
      <c r="L159" s="78">
        <v>15</v>
      </c>
      <c r="M159" s="78" t="str">
        <f t="shared" si="33"/>
        <v>WIN</v>
      </c>
      <c r="N159" s="78"/>
      <c r="O159" s="78"/>
      <c r="P159" s="78">
        <f>IF(Schedules[[#This Row],[Player 4]]="",Schedules[[#This Row],[Player 3]],Schedules[[#This Row],[Player 3]]&amp;" / "&amp;Schedules[[#This Row],[Player 4]])</f>
        <v>0</v>
      </c>
      <c r="Q159" s="78">
        <v>10</v>
      </c>
      <c r="R159" s="78" t="str">
        <f t="shared" si="34"/>
        <v>LOST</v>
      </c>
      <c r="S159" s="61">
        <f>Input!B39</f>
        <v>0</v>
      </c>
      <c r="T159" s="61">
        <f>Input!D39</f>
        <v>0</v>
      </c>
    </row>
    <row r="160" spans="1:20" hidden="1" x14ac:dyDescent="0.3">
      <c r="A160" s="109" t="s">
        <v>55</v>
      </c>
      <c r="B160" s="78" t="str">
        <f t="shared" si="32"/>
        <v>Adda</v>
      </c>
      <c r="C160" s="79">
        <f>D159+TIME(0,3,0)</f>
        <v>46117.381944444438</v>
      </c>
      <c r="D160" s="79">
        <f>C160+TIME(0,10,0)</f>
        <v>46117.388888888883</v>
      </c>
      <c r="E160" s="78" t="str">
        <f t="shared" si="38"/>
        <v>Group</v>
      </c>
      <c r="F160" s="78">
        <f t="shared" si="37"/>
        <v>1</v>
      </c>
      <c r="G160" s="78">
        <f t="shared" si="39"/>
        <v>3</v>
      </c>
      <c r="H160" s="78" t="str">
        <f ca="1">IF(OR(S160="",T160=""),"",IFERROR(_xludf.XLOOKUP(S160,'Registrations'!#REF!,'Registrations'!#REF!,_xludf.XLOOKUP(S160,'Registrations'!$B$4:$B$211,'Registrations'!$E$4:$E$211,S160)),S160) &amp; " vs " &amp; IFERROR(_xludf.XLOOKUP(T160,'Registrations'!#REF!,'Registrations'!#REF!,_xludf.XLOOKUP(T160,'Registrations'!$B$4:$B$211,'Registrations'!$E$4:$E$211,T160)),T160))</f>
        <v>0 vs 0</v>
      </c>
      <c r="I160" s="78"/>
      <c r="J160" s="78"/>
      <c r="K160" s="78">
        <f>IF(Schedules[[#This Row],[Player 2]]="",Schedules[[#This Row],[Player 1]],Schedules[[#This Row],[Player 1]]&amp;" / "&amp;Schedules[[#This Row],[Player 2]])</f>
        <v>0</v>
      </c>
      <c r="L160" s="78">
        <v>15</v>
      </c>
      <c r="M160" s="78" t="str">
        <f t="shared" si="33"/>
        <v>WIN</v>
      </c>
      <c r="N160" s="78"/>
      <c r="O160" s="78"/>
      <c r="P160" s="78">
        <f>IF(Schedules[[#This Row],[Player 4]]="",Schedules[[#This Row],[Player 3]],Schedules[[#This Row],[Player 3]]&amp;" / "&amp;Schedules[[#This Row],[Player 4]])</f>
        <v>0</v>
      </c>
      <c r="Q160" s="78">
        <v>10</v>
      </c>
      <c r="R160" s="78" t="str">
        <f t="shared" si="34"/>
        <v>LOST</v>
      </c>
      <c r="S160" s="61">
        <f>Input!C38</f>
        <v>0</v>
      </c>
      <c r="T160" s="61">
        <f>Input!E38</f>
        <v>0</v>
      </c>
    </row>
    <row r="161" spans="1:20" hidden="1" x14ac:dyDescent="0.3">
      <c r="A161" s="109" t="s">
        <v>55</v>
      </c>
      <c r="B161" s="78" t="str">
        <f t="shared" si="32"/>
        <v>Adda</v>
      </c>
      <c r="C161" s="79">
        <f>C160</f>
        <v>46117.381944444438</v>
      </c>
      <c r="D161" s="79">
        <f>D160</f>
        <v>46117.388888888883</v>
      </c>
      <c r="E161" s="78" t="str">
        <f t="shared" si="38"/>
        <v>Group</v>
      </c>
      <c r="F161" s="78">
        <f t="shared" si="37"/>
        <v>2</v>
      </c>
      <c r="G161" s="78">
        <f t="shared" si="39"/>
        <v>4</v>
      </c>
      <c r="H161" s="78" t="str">
        <f ca="1">IF(OR(S161="",T161=""),"",IFERROR(_xludf.XLOOKUP(S161,'Registrations'!#REF!,'Registrations'!#REF!,_xludf.XLOOKUP(S161,'Registrations'!$B$4:$B$211,'Registrations'!$E$4:$E$211,S161)),S161) &amp; " vs " &amp; IFERROR(_xludf.XLOOKUP(T161,'Registrations'!#REF!,'Registrations'!#REF!,_xludf.XLOOKUP(T161,'Registrations'!$B$4:$B$211,'Registrations'!$E$4:$E$211,T161)),T161))</f>
        <v>0 vs 0</v>
      </c>
      <c r="I161" s="78"/>
      <c r="J161" s="78"/>
      <c r="K161" s="78">
        <f>IF(Schedules[[#This Row],[Player 2]]="",Schedules[[#This Row],[Player 1]],Schedules[[#This Row],[Player 1]]&amp;" / "&amp;Schedules[[#This Row],[Player 2]])</f>
        <v>0</v>
      </c>
      <c r="L161" s="78">
        <v>15</v>
      </c>
      <c r="M161" s="78" t="str">
        <f t="shared" si="33"/>
        <v>WIN</v>
      </c>
      <c r="N161" s="78"/>
      <c r="O161" s="78"/>
      <c r="P161" s="78">
        <f>IF(Schedules[[#This Row],[Player 4]]="",Schedules[[#This Row],[Player 3]],Schedules[[#This Row],[Player 3]]&amp;" / "&amp;Schedules[[#This Row],[Player 4]])</f>
        <v>0</v>
      </c>
      <c r="Q161" s="78">
        <v>10</v>
      </c>
      <c r="R161" s="78" t="str">
        <f t="shared" si="34"/>
        <v>LOST</v>
      </c>
      <c r="S161" s="61">
        <f>Input!C39</f>
        <v>0</v>
      </c>
      <c r="T161" s="61">
        <f>Input!E39</f>
        <v>0</v>
      </c>
    </row>
    <row r="162" spans="1:20" hidden="1" x14ac:dyDescent="0.3">
      <c r="A162" s="109" t="s">
        <v>55</v>
      </c>
      <c r="B162" s="78" t="str">
        <f t="shared" si="32"/>
        <v>Adda</v>
      </c>
      <c r="C162" s="79">
        <f>D161+TIME(0,3,0)</f>
        <v>46117.390972222216</v>
      </c>
      <c r="D162" s="79">
        <f>C162+TIME(0,10,0)</f>
        <v>46117.397916666661</v>
      </c>
      <c r="E162" s="78" t="str">
        <f t="shared" si="38"/>
        <v>Group</v>
      </c>
      <c r="F162" s="78">
        <f t="shared" si="37"/>
        <v>1</v>
      </c>
      <c r="G162" s="78">
        <f t="shared" si="39"/>
        <v>3</v>
      </c>
      <c r="H162" s="78" t="str">
        <f ca="1">IF(OR(S162="",T162=""),"",IFERROR(_xludf.XLOOKUP(S162,'Registrations'!#REF!,'Registrations'!#REF!,_xludf.XLOOKUP(S162,'Registrations'!$B$4:$B$211,'Registrations'!$E$4:$E$211,S162)),S162) &amp; " vs " &amp; IFERROR(_xludf.XLOOKUP(T162,'Registrations'!#REF!,'Registrations'!#REF!,_xludf.XLOOKUP(T162,'Registrations'!$B$4:$B$211,'Registrations'!$E$4:$E$211,T162)),T162))</f>
        <v>0 vs 0</v>
      </c>
      <c r="I162" s="78"/>
      <c r="J162" s="78"/>
      <c r="K162" s="78">
        <f>IF(Schedules[[#This Row],[Player 2]]="",Schedules[[#This Row],[Player 1]],Schedules[[#This Row],[Player 1]]&amp;" / "&amp;Schedules[[#This Row],[Player 2]])</f>
        <v>0</v>
      </c>
      <c r="L162" s="78">
        <v>15</v>
      </c>
      <c r="M162" s="78" t="str">
        <f t="shared" si="33"/>
        <v>WIN</v>
      </c>
      <c r="N162" s="78"/>
      <c r="O162" s="78"/>
      <c r="P162" s="78">
        <f>IF(Schedules[[#This Row],[Player 4]]="",Schedules[[#This Row],[Player 3]],Schedules[[#This Row],[Player 3]]&amp;" / "&amp;Schedules[[#This Row],[Player 4]])</f>
        <v>0</v>
      </c>
      <c r="Q162" s="78">
        <v>10</v>
      </c>
      <c r="R162" s="78" t="str">
        <f t="shared" si="34"/>
        <v>LOST</v>
      </c>
      <c r="S162" s="61">
        <f>Input!B38</f>
        <v>0</v>
      </c>
      <c r="T162" s="61">
        <f>Input!E38</f>
        <v>0</v>
      </c>
    </row>
    <row r="163" spans="1:20" hidden="1" x14ac:dyDescent="0.3">
      <c r="A163" s="109" t="s">
        <v>55</v>
      </c>
      <c r="B163" s="78" t="str">
        <f t="shared" si="32"/>
        <v>Adda</v>
      </c>
      <c r="C163" s="79">
        <f>C162</f>
        <v>46117.390972222216</v>
      </c>
      <c r="D163" s="79">
        <f>D162</f>
        <v>46117.397916666661</v>
      </c>
      <c r="E163" s="78" t="str">
        <f t="shared" si="38"/>
        <v>Group</v>
      </c>
      <c r="F163" s="78">
        <f t="shared" si="37"/>
        <v>2</v>
      </c>
      <c r="G163" s="78">
        <f t="shared" si="39"/>
        <v>4</v>
      </c>
      <c r="H163" s="78" t="str">
        <f ca="1">IF(OR(S163="",T163=""),"",IFERROR(_xludf.XLOOKUP(S163,'Registrations'!#REF!,'Registrations'!#REF!,_xludf.XLOOKUP(S163,'Registrations'!$B$4:$B$211,'Registrations'!$E$4:$E$211,S163)),S163) &amp; " vs " &amp; IFERROR(_xludf.XLOOKUP(T163,'Registrations'!#REF!,'Registrations'!#REF!,_xludf.XLOOKUP(T163,'Registrations'!$B$4:$B$211,'Registrations'!$E$4:$E$211,T163)),T163))</f>
        <v>0 vs 0</v>
      </c>
      <c r="I163" s="78"/>
      <c r="J163" s="78"/>
      <c r="K163" s="78">
        <f>IF(Schedules[[#This Row],[Player 2]]="",Schedules[[#This Row],[Player 1]],Schedules[[#This Row],[Player 1]]&amp;" / "&amp;Schedules[[#This Row],[Player 2]])</f>
        <v>0</v>
      </c>
      <c r="L163" s="78">
        <v>15</v>
      </c>
      <c r="M163" s="78" t="str">
        <f t="shared" si="33"/>
        <v>WIN</v>
      </c>
      <c r="N163" s="78"/>
      <c r="O163" s="78"/>
      <c r="P163" s="78">
        <f>IF(Schedules[[#This Row],[Player 4]]="",Schedules[[#This Row],[Player 3]],Schedules[[#This Row],[Player 3]]&amp;" / "&amp;Schedules[[#This Row],[Player 4]])</f>
        <v>0</v>
      </c>
      <c r="Q163" s="78">
        <v>10</v>
      </c>
      <c r="R163" s="78" t="str">
        <f t="shared" si="34"/>
        <v>LOST</v>
      </c>
      <c r="S163" s="61">
        <f>Input!B39</f>
        <v>0</v>
      </c>
      <c r="T163" s="61">
        <f>Input!E39</f>
        <v>0</v>
      </c>
    </row>
    <row r="164" spans="1:20" hidden="1" x14ac:dyDescent="0.3">
      <c r="A164" s="109" t="s">
        <v>55</v>
      </c>
      <c r="B164" s="78" t="str">
        <f t="shared" si="32"/>
        <v>Adda</v>
      </c>
      <c r="C164" s="79">
        <f>D163+TIME(0,3,0)</f>
        <v>46117.399999999994</v>
      </c>
      <c r="D164" s="79">
        <f>C164+TIME(0,10,0)</f>
        <v>46117.406944444439</v>
      </c>
      <c r="E164" s="78" t="str">
        <f t="shared" si="38"/>
        <v>Group</v>
      </c>
      <c r="F164" s="78">
        <f t="shared" si="37"/>
        <v>1</v>
      </c>
      <c r="G164" s="78">
        <f t="shared" si="39"/>
        <v>3</v>
      </c>
      <c r="H164" s="78" t="str">
        <f ca="1">IF(OR(S164="",T164=""),"",IFERROR(_xludf.XLOOKUP(S164,'Registrations'!#REF!,'Registrations'!#REF!,_xludf.XLOOKUP(S164,'Registrations'!$B$4:$B$211,'Registrations'!$E$4:$E$211,S164)),S164) &amp; " vs " &amp; IFERROR(_xludf.XLOOKUP(T164,'Registrations'!#REF!,'Registrations'!#REF!,_xludf.XLOOKUP(T164,'Registrations'!$B$4:$B$211,'Registrations'!$E$4:$E$211,T164)),T164))</f>
        <v>0 vs 0</v>
      </c>
      <c r="I164" s="78"/>
      <c r="J164" s="78"/>
      <c r="K164" s="78">
        <f>IF(Schedules[[#This Row],[Player 2]]="",Schedules[[#This Row],[Player 1]],Schedules[[#This Row],[Player 1]]&amp;" / "&amp;Schedules[[#This Row],[Player 2]])</f>
        <v>0</v>
      </c>
      <c r="L164" s="78">
        <v>15</v>
      </c>
      <c r="M164" s="78" t="str">
        <f t="shared" si="33"/>
        <v>WIN</v>
      </c>
      <c r="N164" s="78"/>
      <c r="O164" s="78"/>
      <c r="P164" s="78">
        <f>IF(Schedules[[#This Row],[Player 4]]="",Schedules[[#This Row],[Player 3]],Schedules[[#This Row],[Player 3]]&amp;" / "&amp;Schedules[[#This Row],[Player 4]])</f>
        <v>0</v>
      </c>
      <c r="Q164" s="78">
        <v>10</v>
      </c>
      <c r="R164" s="78" t="str">
        <f t="shared" si="34"/>
        <v>LOST</v>
      </c>
      <c r="S164" s="61">
        <f>Input!C38</f>
        <v>0</v>
      </c>
      <c r="T164" s="61">
        <f>Input!D38</f>
        <v>0</v>
      </c>
    </row>
    <row r="165" spans="1:20" hidden="1" x14ac:dyDescent="0.3">
      <c r="A165" s="109" t="s">
        <v>55</v>
      </c>
      <c r="B165" s="78" t="str">
        <f t="shared" si="32"/>
        <v>Adda</v>
      </c>
      <c r="C165" s="79">
        <f>C164</f>
        <v>46117.399999999994</v>
      </c>
      <c r="D165" s="79">
        <f>D164</f>
        <v>46117.406944444439</v>
      </c>
      <c r="E165" s="78" t="str">
        <f t="shared" si="38"/>
        <v>Group</v>
      </c>
      <c r="F165" s="78">
        <f t="shared" si="37"/>
        <v>2</v>
      </c>
      <c r="G165" s="78">
        <f t="shared" si="39"/>
        <v>4</v>
      </c>
      <c r="H165" s="78" t="str">
        <f ca="1">IF(OR(S165="",T165=""),"",IFERROR(_xludf.XLOOKUP(S165,'Registrations'!#REF!,'Registrations'!#REF!,_xludf.XLOOKUP(S165,'Registrations'!$B$4:$B$211,'Registrations'!$E$4:$E$211,S165)),S165) &amp; " vs " &amp; IFERROR(_xludf.XLOOKUP(T165,'Registrations'!#REF!,'Registrations'!#REF!,_xludf.XLOOKUP(T165,'Registrations'!$B$4:$B$211,'Registrations'!$E$4:$E$211,T165)),T165))</f>
        <v>0 vs 0</v>
      </c>
      <c r="I165" s="78"/>
      <c r="J165" s="78"/>
      <c r="K165" s="78">
        <f>IF(Schedules[[#This Row],[Player 2]]="",Schedules[[#This Row],[Player 1]],Schedules[[#This Row],[Player 1]]&amp;" / "&amp;Schedules[[#This Row],[Player 2]])</f>
        <v>0</v>
      </c>
      <c r="L165" s="78">
        <v>15</v>
      </c>
      <c r="M165" s="78" t="str">
        <f t="shared" si="33"/>
        <v>WIN</v>
      </c>
      <c r="N165" s="78"/>
      <c r="O165" s="78"/>
      <c r="P165" s="78">
        <f>IF(Schedules[[#This Row],[Player 4]]="",Schedules[[#This Row],[Player 3]],Schedules[[#This Row],[Player 3]]&amp;" / "&amp;Schedules[[#This Row],[Player 4]])</f>
        <v>0</v>
      </c>
      <c r="Q165" s="78">
        <v>10</v>
      </c>
      <c r="R165" s="78" t="str">
        <f t="shared" si="34"/>
        <v>LOST</v>
      </c>
      <c r="S165" s="61">
        <f>Input!C39</f>
        <v>0</v>
      </c>
      <c r="T165" s="61">
        <f>Input!D39</f>
        <v>0</v>
      </c>
    </row>
    <row r="166" spans="1:20" hidden="1" x14ac:dyDescent="0.3">
      <c r="A166" s="110" t="s">
        <v>55</v>
      </c>
      <c r="B166" s="76" t="str">
        <f t="shared" si="32"/>
        <v>Adda</v>
      </c>
      <c r="C166" s="77">
        <f>D165+TIME(0,3,0)</f>
        <v>46117.409027777772</v>
      </c>
      <c r="D166" s="77">
        <f>C166+TIME(0,10,0)</f>
        <v>46117.415972222218</v>
      </c>
      <c r="E166" s="76" t="s">
        <v>432</v>
      </c>
      <c r="F166" s="76">
        <f t="shared" si="37"/>
        <v>1</v>
      </c>
      <c r="G166" s="76" t="s">
        <v>430</v>
      </c>
      <c r="H166" s="76" t="str">
        <f ca="1">IF(OR(S166="",T166=""),"",IFERROR(_xludf.XLOOKUP(S166,'Registrations'!#REF!,'Registrations'!#REF!,_xludf.XLOOKUP(S166,'Registrations'!$B$4:$B$211,'Registrations'!$E$4:$E$211,S166)),S166) &amp; " vs " &amp; IFERROR(_xludf.XLOOKUP(T166,'Registrations'!#REF!,'Registrations'!#REF!,_xludf.XLOOKUP(T166,'Registrations'!$B$4:$B$211,'Registrations'!$E$4:$E$211,T166)),T166))</f>
        <v>0 vs 0</v>
      </c>
      <c r="I166" s="76"/>
      <c r="J166" s="76"/>
      <c r="K166" s="76">
        <f>IF(Schedules[[#This Row],[Player 2]]="",Schedules[[#This Row],[Player 1]],Schedules[[#This Row],[Player 1]]&amp;" / "&amp;Schedules[[#This Row],[Player 2]])</f>
        <v>0</v>
      </c>
      <c r="L166" s="76">
        <v>15</v>
      </c>
      <c r="M166" s="76" t="str">
        <f t="shared" si="33"/>
        <v>WIN</v>
      </c>
      <c r="N166" s="76"/>
      <c r="O166" s="76"/>
      <c r="P166" s="76">
        <f>IF(Schedules[[#This Row],[Player 4]]="",Schedules[[#This Row],[Player 3]],Schedules[[#This Row],[Player 3]]&amp;" / "&amp;Schedules[[#This Row],[Player 4]])</f>
        <v>0</v>
      </c>
      <c r="Q166" s="76">
        <v>10</v>
      </c>
      <c r="R166" s="76" t="str">
        <f t="shared" si="34"/>
        <v>LOST</v>
      </c>
      <c r="S166" s="61">
        <f>Input!H38</f>
        <v>0</v>
      </c>
      <c r="T166" s="61">
        <f>Input!I38</f>
        <v>0</v>
      </c>
    </row>
    <row r="167" spans="1:20" hidden="1" x14ac:dyDescent="0.3">
      <c r="A167" s="110" t="s">
        <v>55</v>
      </c>
      <c r="B167" s="76" t="str">
        <f t="shared" si="32"/>
        <v>Adda</v>
      </c>
      <c r="C167" s="77">
        <f>C166</f>
        <v>46117.409027777772</v>
      </c>
      <c r="D167" s="77">
        <f>D166</f>
        <v>46117.415972222218</v>
      </c>
      <c r="E167" s="76" t="str">
        <f>E166</f>
        <v>Pre-Q</v>
      </c>
      <c r="F167" s="76">
        <f t="shared" si="37"/>
        <v>2</v>
      </c>
      <c r="G167" s="76" t="str">
        <f>G166</f>
        <v>3 vs 4</v>
      </c>
      <c r="H167" s="76" t="str">
        <f ca="1">IF(OR(S167="",T167=""),"",IFERROR(_xludf.XLOOKUP(S167,'Registrations'!#REF!,'Registrations'!#REF!,_xludf.XLOOKUP(S167,'Registrations'!$B$4:$B$211,'Registrations'!$E$4:$E$211,S167)),S167) &amp; " vs " &amp; IFERROR(_xludf.XLOOKUP(T167,'Registrations'!#REF!,'Registrations'!#REF!,_xludf.XLOOKUP(T167,'Registrations'!$B$4:$B$211,'Registrations'!$E$4:$E$211,T167)),T167))</f>
        <v>0 vs 0</v>
      </c>
      <c r="I167" s="76"/>
      <c r="J167" s="76"/>
      <c r="K167" s="76">
        <f>IF(Schedules[[#This Row],[Player 2]]="",Schedules[[#This Row],[Player 1]],Schedules[[#This Row],[Player 1]]&amp;" / "&amp;Schedules[[#This Row],[Player 2]])</f>
        <v>0</v>
      </c>
      <c r="L167" s="76">
        <v>15</v>
      </c>
      <c r="M167" s="76" t="str">
        <f t="shared" si="33"/>
        <v>WIN</v>
      </c>
      <c r="N167" s="76"/>
      <c r="O167" s="76"/>
      <c r="P167" s="76">
        <f>IF(Schedules[[#This Row],[Player 4]]="",Schedules[[#This Row],[Player 3]],Schedules[[#This Row],[Player 3]]&amp;" / "&amp;Schedules[[#This Row],[Player 4]])</f>
        <v>0</v>
      </c>
      <c r="Q167" s="76">
        <v>10</v>
      </c>
      <c r="R167" s="76" t="str">
        <f t="shared" si="34"/>
        <v>LOST</v>
      </c>
      <c r="S167" s="61">
        <f>Input!H39</f>
        <v>0</v>
      </c>
      <c r="T167" s="61">
        <f>Input!I39</f>
        <v>0</v>
      </c>
    </row>
    <row r="168" spans="1:20" hidden="1" x14ac:dyDescent="0.3">
      <c r="A168" s="109" t="s">
        <v>55</v>
      </c>
      <c r="B168" s="78" t="str">
        <f t="shared" si="32"/>
        <v>Adda</v>
      </c>
      <c r="C168" s="79">
        <f>D167+TIME(0,3,0)</f>
        <v>46117.41805555555</v>
      </c>
      <c r="D168" s="79">
        <f>C168+TIME(0,10,0)</f>
        <v>46117.424999999996</v>
      </c>
      <c r="E168" s="78" t="s">
        <v>433</v>
      </c>
      <c r="F168" s="78">
        <f t="shared" si="37"/>
        <v>1</v>
      </c>
      <c r="G168" s="78">
        <v>5</v>
      </c>
      <c r="H168" s="78" t="str">
        <f ca="1">IF(OR(S168="",T168=""),"",IFERROR(_xludf.XLOOKUP(S168,'Registrations'!#REF!,'Registrations'!#REF!,_xludf.XLOOKUP(S168,'Registrations'!$B$4:$B$211,'Registrations'!$E$4:$E$211,S168)),S168) &amp; " vs " &amp; IFERROR(_xludf.XLOOKUP(T168,'Registrations'!#REF!,'Registrations'!#REF!,_xludf.XLOOKUP(T168,'Registrations'!$B$4:$B$211,'Registrations'!$E$4:$E$211,T168)),T168))</f>
        <v>0 vs 0</v>
      </c>
      <c r="I168" s="78"/>
      <c r="J168" s="78"/>
      <c r="K168" s="78">
        <f>IF(Schedules[[#This Row],[Player 2]]="",Schedules[[#This Row],[Player 1]],Schedules[[#This Row],[Player 1]]&amp;" / "&amp;Schedules[[#This Row],[Player 2]])</f>
        <v>0</v>
      </c>
      <c r="L168" s="78">
        <v>15</v>
      </c>
      <c r="M168" s="78" t="str">
        <f t="shared" si="33"/>
        <v>WIN</v>
      </c>
      <c r="N168" s="78"/>
      <c r="O168" s="78"/>
      <c r="P168" s="78">
        <f>IF(Schedules[[#This Row],[Player 4]]="",Schedules[[#This Row],[Player 3]],Schedules[[#This Row],[Player 3]]&amp;" / "&amp;Schedules[[#This Row],[Player 4]])</f>
        <v>0</v>
      </c>
      <c r="Q168" s="78">
        <v>10</v>
      </c>
      <c r="R168" s="78" t="str">
        <f t="shared" si="34"/>
        <v>LOST</v>
      </c>
      <c r="S168" s="61">
        <f>Input!B40</f>
        <v>0</v>
      </c>
      <c r="T168" s="61">
        <f>Input!C40</f>
        <v>0</v>
      </c>
    </row>
    <row r="169" spans="1:20" hidden="1" x14ac:dyDescent="0.3">
      <c r="A169" s="109" t="s">
        <v>55</v>
      </c>
      <c r="B169" s="78" t="str">
        <f t="shared" si="32"/>
        <v>Adda</v>
      </c>
      <c r="C169" s="79">
        <f>C168</f>
        <v>46117.41805555555</v>
      </c>
      <c r="D169" s="79">
        <f>D168</f>
        <v>46117.424999999996</v>
      </c>
      <c r="E169" s="78" t="str">
        <f>E168</f>
        <v>Group</v>
      </c>
      <c r="F169" s="78">
        <f t="shared" si="37"/>
        <v>2</v>
      </c>
      <c r="G169" s="78">
        <v>6</v>
      </c>
      <c r="H169" s="78" t="str">
        <f ca="1">IF(OR(S169="",T169=""),"",IFERROR(_xludf.XLOOKUP(S169,'Registrations'!#REF!,'Registrations'!#REF!,_xludf.XLOOKUP(S169,'Registrations'!$B$4:$B$211,'Registrations'!$E$4:$E$211,S169)),S169) &amp; " vs " &amp; IFERROR(_xludf.XLOOKUP(T169,'Registrations'!#REF!,'Registrations'!#REF!,_xludf.XLOOKUP(T169,'Registrations'!$B$4:$B$211,'Registrations'!$E$4:$E$211,T169)),T169))</f>
        <v>0 vs 0</v>
      </c>
      <c r="I169" s="78"/>
      <c r="J169" s="78"/>
      <c r="K169" s="78">
        <f>IF(Schedules[[#This Row],[Player 2]]="",Schedules[[#This Row],[Player 1]],Schedules[[#This Row],[Player 1]]&amp;" / "&amp;Schedules[[#This Row],[Player 2]])</f>
        <v>0</v>
      </c>
      <c r="L169" s="78">
        <v>15</v>
      </c>
      <c r="M169" s="78" t="str">
        <f t="shared" si="33"/>
        <v>WIN</v>
      </c>
      <c r="N169" s="78"/>
      <c r="O169" s="78"/>
      <c r="P169" s="78">
        <f>IF(Schedules[[#This Row],[Player 4]]="",Schedules[[#This Row],[Player 3]],Schedules[[#This Row],[Player 3]]&amp;" / "&amp;Schedules[[#This Row],[Player 4]])</f>
        <v>0</v>
      </c>
      <c r="Q169" s="78">
        <v>10</v>
      </c>
      <c r="R169" s="78" t="str">
        <f t="shared" si="34"/>
        <v>LOST</v>
      </c>
      <c r="S169" s="61">
        <f>Input!B41</f>
        <v>0</v>
      </c>
      <c r="T169" s="61">
        <f>Input!C41</f>
        <v>0</v>
      </c>
    </row>
    <row r="170" spans="1:20" hidden="1" x14ac:dyDescent="0.3">
      <c r="A170" s="109" t="s">
        <v>55</v>
      </c>
      <c r="B170" s="78" t="str">
        <f t="shared" si="32"/>
        <v>Adda</v>
      </c>
      <c r="C170" s="79">
        <f>D169+TIME(0,3,0)</f>
        <v>46117.427083333328</v>
      </c>
      <c r="D170" s="79">
        <f>C170+TIME(0,10,0)</f>
        <v>46117.434027777774</v>
      </c>
      <c r="E170" s="78" t="str">
        <f t="shared" ref="E170:E179" si="40">E169</f>
        <v>Group</v>
      </c>
      <c r="F170" s="78">
        <f t="shared" si="37"/>
        <v>1</v>
      </c>
      <c r="G170" s="78">
        <f t="shared" ref="G170:G179" si="41">G168</f>
        <v>5</v>
      </c>
      <c r="H170" s="78" t="str">
        <f ca="1">IF(OR(S170="",T170=""),"",IFERROR(_xludf.XLOOKUP(S170,'Registrations'!#REF!,'Registrations'!#REF!,_xludf.XLOOKUP(S170,'Registrations'!$B$4:$B$211,'Registrations'!$E$4:$E$211,S170)),S170) &amp; " vs " &amp; IFERROR(_xludf.XLOOKUP(T170,'Registrations'!#REF!,'Registrations'!#REF!,_xludf.XLOOKUP(T170,'Registrations'!$B$4:$B$211,'Registrations'!$E$4:$E$211,T170)),T170))</f>
        <v>0 vs 0</v>
      </c>
      <c r="I170" s="78"/>
      <c r="J170" s="78"/>
      <c r="K170" s="78">
        <f>IF(Schedules[[#This Row],[Player 2]]="",Schedules[[#This Row],[Player 1]],Schedules[[#This Row],[Player 1]]&amp;" / "&amp;Schedules[[#This Row],[Player 2]])</f>
        <v>0</v>
      </c>
      <c r="L170" s="78">
        <v>15</v>
      </c>
      <c r="M170" s="78" t="str">
        <f t="shared" si="33"/>
        <v>WIN</v>
      </c>
      <c r="N170" s="78"/>
      <c r="O170" s="78"/>
      <c r="P170" s="78">
        <f>IF(Schedules[[#This Row],[Player 4]]="",Schedules[[#This Row],[Player 3]],Schedules[[#This Row],[Player 3]]&amp;" / "&amp;Schedules[[#This Row],[Player 4]])</f>
        <v>0</v>
      </c>
      <c r="Q170" s="78">
        <v>10</v>
      </c>
      <c r="R170" s="78" t="str">
        <f t="shared" si="34"/>
        <v>LOST</v>
      </c>
      <c r="S170" s="61">
        <f>Input!D40</f>
        <v>0</v>
      </c>
      <c r="T170" s="61">
        <f>Input!E40</f>
        <v>0</v>
      </c>
    </row>
    <row r="171" spans="1:20" hidden="1" x14ac:dyDescent="0.3">
      <c r="A171" s="109" t="s">
        <v>55</v>
      </c>
      <c r="B171" s="78" t="str">
        <f t="shared" si="32"/>
        <v>Adda</v>
      </c>
      <c r="C171" s="79">
        <f>C170</f>
        <v>46117.427083333328</v>
      </c>
      <c r="D171" s="79">
        <f>D170</f>
        <v>46117.434027777774</v>
      </c>
      <c r="E171" s="78" t="str">
        <f t="shared" si="40"/>
        <v>Group</v>
      </c>
      <c r="F171" s="78">
        <f t="shared" si="37"/>
        <v>2</v>
      </c>
      <c r="G171" s="78">
        <f t="shared" si="41"/>
        <v>6</v>
      </c>
      <c r="H171" s="78" t="str">
        <f ca="1">IF(OR(S171="",T171=""),"",IFERROR(_xludf.XLOOKUP(S171,'Registrations'!#REF!,'Registrations'!#REF!,_xludf.XLOOKUP(S171,'Registrations'!$B$4:$B$211,'Registrations'!$E$4:$E$211,S171)),S171) &amp; " vs " &amp; IFERROR(_xludf.XLOOKUP(T171,'Registrations'!#REF!,'Registrations'!#REF!,_xludf.XLOOKUP(T171,'Registrations'!$B$4:$B$211,'Registrations'!$E$4:$E$211,T171)),T171))</f>
        <v>0 vs 0</v>
      </c>
      <c r="I171" s="78"/>
      <c r="J171" s="78"/>
      <c r="K171" s="78">
        <f>IF(Schedules[[#This Row],[Player 2]]="",Schedules[[#This Row],[Player 1]],Schedules[[#This Row],[Player 1]]&amp;" / "&amp;Schedules[[#This Row],[Player 2]])</f>
        <v>0</v>
      </c>
      <c r="L171" s="78">
        <v>15</v>
      </c>
      <c r="M171" s="78" t="str">
        <f t="shared" si="33"/>
        <v>WIN</v>
      </c>
      <c r="N171" s="78"/>
      <c r="O171" s="78"/>
      <c r="P171" s="78">
        <f>IF(Schedules[[#This Row],[Player 4]]="",Schedules[[#This Row],[Player 3]],Schedules[[#This Row],[Player 3]]&amp;" / "&amp;Schedules[[#This Row],[Player 4]])</f>
        <v>0</v>
      </c>
      <c r="Q171" s="78">
        <v>10</v>
      </c>
      <c r="R171" s="78" t="str">
        <f t="shared" si="34"/>
        <v>LOST</v>
      </c>
      <c r="S171" s="61">
        <f>Input!D41</f>
        <v>0</v>
      </c>
      <c r="T171" s="61">
        <f>Input!E41</f>
        <v>0</v>
      </c>
    </row>
    <row r="172" spans="1:20" hidden="1" x14ac:dyDescent="0.3">
      <c r="A172" s="109" t="s">
        <v>55</v>
      </c>
      <c r="B172" s="78" t="str">
        <f t="shared" si="32"/>
        <v>Adda</v>
      </c>
      <c r="C172" s="79">
        <f>D171+TIME(0,3,0)</f>
        <v>46117.436111111107</v>
      </c>
      <c r="D172" s="79">
        <f>C172+TIME(0,10,0)</f>
        <v>46117.443055555552</v>
      </c>
      <c r="E172" s="78" t="str">
        <f t="shared" si="40"/>
        <v>Group</v>
      </c>
      <c r="F172" s="78">
        <f t="shared" si="37"/>
        <v>1</v>
      </c>
      <c r="G172" s="78">
        <f t="shared" si="41"/>
        <v>5</v>
      </c>
      <c r="H172" s="78" t="str">
        <f ca="1">IF(OR(S172="",T172=""),"",IFERROR(_xludf.XLOOKUP(S172,'Registrations'!#REF!,'Registrations'!#REF!,_xludf.XLOOKUP(S172,'Registrations'!$B$4:$B$211,'Registrations'!$E$4:$E$211,S172)),S172) &amp; " vs " &amp; IFERROR(_xludf.XLOOKUP(T172,'Registrations'!#REF!,'Registrations'!#REF!,_xludf.XLOOKUP(T172,'Registrations'!$B$4:$B$211,'Registrations'!$E$4:$E$211,T172)),T172))</f>
        <v>0 vs 0</v>
      </c>
      <c r="I172" s="78"/>
      <c r="J172" s="78"/>
      <c r="K172" s="78">
        <f>IF(Schedules[[#This Row],[Player 2]]="",Schedules[[#This Row],[Player 1]],Schedules[[#This Row],[Player 1]]&amp;" / "&amp;Schedules[[#This Row],[Player 2]])</f>
        <v>0</v>
      </c>
      <c r="L172" s="78">
        <v>15</v>
      </c>
      <c r="M172" s="78" t="str">
        <f t="shared" si="33"/>
        <v>WIN</v>
      </c>
      <c r="N172" s="78"/>
      <c r="O172" s="78"/>
      <c r="P172" s="78">
        <f>IF(Schedules[[#This Row],[Player 4]]="",Schedules[[#This Row],[Player 3]],Schedules[[#This Row],[Player 3]]&amp;" / "&amp;Schedules[[#This Row],[Player 4]])</f>
        <v>0</v>
      </c>
      <c r="Q172" s="78">
        <v>10</v>
      </c>
      <c r="R172" s="78" t="str">
        <f t="shared" si="34"/>
        <v>LOST</v>
      </c>
      <c r="S172" s="61">
        <f>Input!B40</f>
        <v>0</v>
      </c>
      <c r="T172" s="61">
        <f>Input!D40</f>
        <v>0</v>
      </c>
    </row>
    <row r="173" spans="1:20" hidden="1" x14ac:dyDescent="0.3">
      <c r="A173" s="109" t="s">
        <v>55</v>
      </c>
      <c r="B173" s="78" t="str">
        <f t="shared" si="32"/>
        <v>Adda</v>
      </c>
      <c r="C173" s="79">
        <f>C172</f>
        <v>46117.436111111107</v>
      </c>
      <c r="D173" s="79">
        <f>D172</f>
        <v>46117.443055555552</v>
      </c>
      <c r="E173" s="78" t="str">
        <f t="shared" si="40"/>
        <v>Group</v>
      </c>
      <c r="F173" s="78">
        <f t="shared" si="37"/>
        <v>2</v>
      </c>
      <c r="G173" s="78">
        <f t="shared" si="41"/>
        <v>6</v>
      </c>
      <c r="H173" s="78" t="str">
        <f ca="1">IF(OR(S173="",T173=""),"",IFERROR(_xludf.XLOOKUP(S173,'Registrations'!#REF!,'Registrations'!#REF!,_xludf.XLOOKUP(S173,'Registrations'!$B$4:$B$211,'Registrations'!$E$4:$E$211,S173)),S173) &amp; " vs " &amp; IFERROR(_xludf.XLOOKUP(T173,'Registrations'!#REF!,'Registrations'!#REF!,_xludf.XLOOKUP(T173,'Registrations'!$B$4:$B$211,'Registrations'!$E$4:$E$211,T173)),T173))</f>
        <v>0 vs 0</v>
      </c>
      <c r="I173" s="78"/>
      <c r="J173" s="78"/>
      <c r="K173" s="78">
        <f>IF(Schedules[[#This Row],[Player 2]]="",Schedules[[#This Row],[Player 1]],Schedules[[#This Row],[Player 1]]&amp;" / "&amp;Schedules[[#This Row],[Player 2]])</f>
        <v>0</v>
      </c>
      <c r="L173" s="78">
        <v>15</v>
      </c>
      <c r="M173" s="78" t="str">
        <f t="shared" si="33"/>
        <v>WIN</v>
      </c>
      <c r="N173" s="78"/>
      <c r="O173" s="78"/>
      <c r="P173" s="78">
        <f>IF(Schedules[[#This Row],[Player 4]]="",Schedules[[#This Row],[Player 3]],Schedules[[#This Row],[Player 3]]&amp;" / "&amp;Schedules[[#This Row],[Player 4]])</f>
        <v>0</v>
      </c>
      <c r="Q173" s="78">
        <v>10</v>
      </c>
      <c r="R173" s="78" t="str">
        <f t="shared" si="34"/>
        <v>LOST</v>
      </c>
      <c r="S173" s="61">
        <f>Input!B41</f>
        <v>0</v>
      </c>
      <c r="T173" s="61">
        <f>Input!D41</f>
        <v>0</v>
      </c>
    </row>
    <row r="174" spans="1:20" hidden="1" x14ac:dyDescent="0.3">
      <c r="A174" s="109" t="s">
        <v>55</v>
      </c>
      <c r="B174" s="78" t="str">
        <f t="shared" si="32"/>
        <v>Adda</v>
      </c>
      <c r="C174" s="79">
        <f>D173+TIME(0,3,0)</f>
        <v>46117.445138888885</v>
      </c>
      <c r="D174" s="79">
        <f>C174+TIME(0,10,0)</f>
        <v>46117.45208333333</v>
      </c>
      <c r="E174" s="78" t="str">
        <f t="shared" si="40"/>
        <v>Group</v>
      </c>
      <c r="F174" s="78">
        <f t="shared" si="37"/>
        <v>1</v>
      </c>
      <c r="G174" s="78">
        <f t="shared" si="41"/>
        <v>5</v>
      </c>
      <c r="H174" s="78" t="str">
        <f ca="1">IF(OR(S174="",T174=""),"",IFERROR(_xludf.XLOOKUP(S174,'Registrations'!#REF!,'Registrations'!#REF!,_xludf.XLOOKUP(S174,'Registrations'!$B$4:$B$211,'Registrations'!$E$4:$E$211,S174)),S174) &amp; " vs " &amp; IFERROR(_xludf.XLOOKUP(T174,'Registrations'!#REF!,'Registrations'!#REF!,_xludf.XLOOKUP(T174,'Registrations'!$B$4:$B$211,'Registrations'!$E$4:$E$211,T174)),T174))</f>
        <v>0 vs 0</v>
      </c>
      <c r="I174" s="78"/>
      <c r="J174" s="78"/>
      <c r="K174" s="78">
        <f>IF(Schedules[[#This Row],[Player 2]]="",Schedules[[#This Row],[Player 1]],Schedules[[#This Row],[Player 1]]&amp;" / "&amp;Schedules[[#This Row],[Player 2]])</f>
        <v>0</v>
      </c>
      <c r="L174" s="78">
        <v>15</v>
      </c>
      <c r="M174" s="78" t="str">
        <f t="shared" si="33"/>
        <v>WIN</v>
      </c>
      <c r="N174" s="78"/>
      <c r="O174" s="78"/>
      <c r="P174" s="78">
        <f>IF(Schedules[[#This Row],[Player 4]]="",Schedules[[#This Row],[Player 3]],Schedules[[#This Row],[Player 3]]&amp;" / "&amp;Schedules[[#This Row],[Player 4]])</f>
        <v>0</v>
      </c>
      <c r="Q174" s="78">
        <v>10</v>
      </c>
      <c r="R174" s="78" t="str">
        <f t="shared" si="34"/>
        <v>LOST</v>
      </c>
      <c r="S174" s="61">
        <f>Input!C40</f>
        <v>0</v>
      </c>
      <c r="T174" s="61">
        <f>Input!E40</f>
        <v>0</v>
      </c>
    </row>
    <row r="175" spans="1:20" hidden="1" x14ac:dyDescent="0.3">
      <c r="A175" s="109" t="s">
        <v>55</v>
      </c>
      <c r="B175" s="78" t="str">
        <f t="shared" si="32"/>
        <v>Adda</v>
      </c>
      <c r="C175" s="79">
        <f>C174</f>
        <v>46117.445138888885</v>
      </c>
      <c r="D175" s="79">
        <f>D174</f>
        <v>46117.45208333333</v>
      </c>
      <c r="E175" s="78" t="str">
        <f t="shared" si="40"/>
        <v>Group</v>
      </c>
      <c r="F175" s="78">
        <f t="shared" si="37"/>
        <v>2</v>
      </c>
      <c r="G175" s="78">
        <f t="shared" si="41"/>
        <v>6</v>
      </c>
      <c r="H175" s="78" t="str">
        <f ca="1">IF(OR(S175="",T175=""),"",IFERROR(_xludf.XLOOKUP(S175,'Registrations'!#REF!,'Registrations'!#REF!,_xludf.XLOOKUP(S175,'Registrations'!$B$4:$B$211,'Registrations'!$E$4:$E$211,S175)),S175) &amp; " vs " &amp; IFERROR(_xludf.XLOOKUP(T175,'Registrations'!#REF!,'Registrations'!#REF!,_xludf.XLOOKUP(T175,'Registrations'!$B$4:$B$211,'Registrations'!$E$4:$E$211,T175)),T175))</f>
        <v>0 vs 0</v>
      </c>
      <c r="I175" s="78"/>
      <c r="J175" s="78"/>
      <c r="K175" s="78">
        <f>IF(Schedules[[#This Row],[Player 2]]="",Schedules[[#This Row],[Player 1]],Schedules[[#This Row],[Player 1]]&amp;" / "&amp;Schedules[[#This Row],[Player 2]])</f>
        <v>0</v>
      </c>
      <c r="L175" s="78">
        <v>15</v>
      </c>
      <c r="M175" s="78" t="str">
        <f t="shared" si="33"/>
        <v>WIN</v>
      </c>
      <c r="N175" s="78"/>
      <c r="O175" s="78"/>
      <c r="P175" s="78">
        <f>IF(Schedules[[#This Row],[Player 4]]="",Schedules[[#This Row],[Player 3]],Schedules[[#This Row],[Player 3]]&amp;" / "&amp;Schedules[[#This Row],[Player 4]])</f>
        <v>0</v>
      </c>
      <c r="Q175" s="78">
        <v>10</v>
      </c>
      <c r="R175" s="78" t="str">
        <f t="shared" si="34"/>
        <v>LOST</v>
      </c>
      <c r="S175" s="61">
        <f>Input!C41</f>
        <v>0</v>
      </c>
      <c r="T175" s="61">
        <f>Input!E41</f>
        <v>0</v>
      </c>
    </row>
    <row r="176" spans="1:20" hidden="1" x14ac:dyDescent="0.3">
      <c r="A176" s="109" t="s">
        <v>55</v>
      </c>
      <c r="B176" s="78" t="str">
        <f t="shared" si="32"/>
        <v>Adda</v>
      </c>
      <c r="C176" s="79">
        <f>D175+TIME(0,3,0)</f>
        <v>46117.454166666663</v>
      </c>
      <c r="D176" s="79">
        <f>C176+TIME(0,10,0)</f>
        <v>46117.461111111108</v>
      </c>
      <c r="E176" s="78" t="str">
        <f t="shared" si="40"/>
        <v>Group</v>
      </c>
      <c r="F176" s="78">
        <f t="shared" si="37"/>
        <v>1</v>
      </c>
      <c r="G176" s="78">
        <f t="shared" si="41"/>
        <v>5</v>
      </c>
      <c r="H176" s="78" t="str">
        <f ca="1">IF(OR(S176="",T176=""),"",IFERROR(_xludf.XLOOKUP(S176,'Registrations'!#REF!,'Registrations'!#REF!,_xludf.XLOOKUP(S176,'Registrations'!$B$4:$B$211,'Registrations'!$E$4:$E$211,S176)),S176) &amp; " vs " &amp; IFERROR(_xludf.XLOOKUP(T176,'Registrations'!#REF!,'Registrations'!#REF!,_xludf.XLOOKUP(T176,'Registrations'!$B$4:$B$211,'Registrations'!$E$4:$E$211,T176)),T176))</f>
        <v>0 vs 0</v>
      </c>
      <c r="I176" s="78"/>
      <c r="J176" s="78"/>
      <c r="K176" s="78">
        <f>IF(Schedules[[#This Row],[Player 2]]="",Schedules[[#This Row],[Player 1]],Schedules[[#This Row],[Player 1]]&amp;" / "&amp;Schedules[[#This Row],[Player 2]])</f>
        <v>0</v>
      </c>
      <c r="L176" s="78">
        <v>15</v>
      </c>
      <c r="M176" s="78" t="str">
        <f t="shared" si="33"/>
        <v>WIN</v>
      </c>
      <c r="N176" s="78"/>
      <c r="O176" s="78"/>
      <c r="P176" s="78">
        <f>IF(Schedules[[#This Row],[Player 4]]="",Schedules[[#This Row],[Player 3]],Schedules[[#This Row],[Player 3]]&amp;" / "&amp;Schedules[[#This Row],[Player 4]])</f>
        <v>0</v>
      </c>
      <c r="Q176" s="78">
        <v>10</v>
      </c>
      <c r="R176" s="78" t="str">
        <f t="shared" si="34"/>
        <v>LOST</v>
      </c>
      <c r="S176" s="61">
        <f>Input!B40</f>
        <v>0</v>
      </c>
      <c r="T176" s="61">
        <f>Input!E40</f>
        <v>0</v>
      </c>
    </row>
    <row r="177" spans="1:20" hidden="1" x14ac:dyDescent="0.3">
      <c r="A177" s="109" t="s">
        <v>55</v>
      </c>
      <c r="B177" s="78" t="str">
        <f t="shared" si="32"/>
        <v>Adda</v>
      </c>
      <c r="C177" s="79">
        <f>C176</f>
        <v>46117.454166666663</v>
      </c>
      <c r="D177" s="79">
        <f>D176</f>
        <v>46117.461111111108</v>
      </c>
      <c r="E177" s="78" t="str">
        <f t="shared" si="40"/>
        <v>Group</v>
      </c>
      <c r="F177" s="78">
        <f t="shared" si="37"/>
        <v>2</v>
      </c>
      <c r="G177" s="78">
        <f t="shared" si="41"/>
        <v>6</v>
      </c>
      <c r="H177" s="78" t="str">
        <f ca="1">IF(OR(S177="",T177=""),"",IFERROR(_xludf.XLOOKUP(S177,'Registrations'!#REF!,'Registrations'!#REF!,_xludf.XLOOKUP(S177,'Registrations'!$B$4:$B$211,'Registrations'!$E$4:$E$211,S177)),S177) &amp; " vs " &amp; IFERROR(_xludf.XLOOKUP(T177,'Registrations'!#REF!,'Registrations'!#REF!,_xludf.XLOOKUP(T177,'Registrations'!$B$4:$B$211,'Registrations'!$E$4:$E$211,T177)),T177))</f>
        <v>0 vs 0</v>
      </c>
      <c r="I177" s="78"/>
      <c r="J177" s="78"/>
      <c r="K177" s="78">
        <f>IF(Schedules[[#This Row],[Player 2]]="",Schedules[[#This Row],[Player 1]],Schedules[[#This Row],[Player 1]]&amp;" / "&amp;Schedules[[#This Row],[Player 2]])</f>
        <v>0</v>
      </c>
      <c r="L177" s="78">
        <v>15</v>
      </c>
      <c r="M177" s="78" t="str">
        <f t="shared" si="33"/>
        <v>WIN</v>
      </c>
      <c r="N177" s="78"/>
      <c r="O177" s="78"/>
      <c r="P177" s="78">
        <f>IF(Schedules[[#This Row],[Player 4]]="",Schedules[[#This Row],[Player 3]],Schedules[[#This Row],[Player 3]]&amp;" / "&amp;Schedules[[#This Row],[Player 4]])</f>
        <v>0</v>
      </c>
      <c r="Q177" s="78">
        <v>10</v>
      </c>
      <c r="R177" s="78" t="str">
        <f t="shared" si="34"/>
        <v>LOST</v>
      </c>
      <c r="S177" s="61">
        <f>Input!B41</f>
        <v>0</v>
      </c>
      <c r="T177" s="61">
        <f>Input!E41</f>
        <v>0</v>
      </c>
    </row>
    <row r="178" spans="1:20" hidden="1" x14ac:dyDescent="0.3">
      <c r="A178" s="109" t="s">
        <v>55</v>
      </c>
      <c r="B178" s="78" t="str">
        <f t="shared" si="32"/>
        <v>Adda</v>
      </c>
      <c r="C178" s="79">
        <f>D177+TIME(0,3,0)</f>
        <v>46117.463194444441</v>
      </c>
      <c r="D178" s="79">
        <f>C178+TIME(0,10,0)</f>
        <v>46117.470138888886</v>
      </c>
      <c r="E178" s="78" t="str">
        <f t="shared" si="40"/>
        <v>Group</v>
      </c>
      <c r="F178" s="78">
        <f t="shared" si="37"/>
        <v>1</v>
      </c>
      <c r="G178" s="78">
        <f t="shared" si="41"/>
        <v>5</v>
      </c>
      <c r="H178" s="78" t="str">
        <f ca="1">IF(OR(S178="",T178=""),"",IFERROR(_xludf.XLOOKUP(S178,'Registrations'!#REF!,'Registrations'!#REF!,_xludf.XLOOKUP(S178,'Registrations'!$B$4:$B$211,'Registrations'!$E$4:$E$211,S178)),S178) &amp; " vs " &amp; IFERROR(_xludf.XLOOKUP(T178,'Registrations'!#REF!,'Registrations'!#REF!,_xludf.XLOOKUP(T178,'Registrations'!$B$4:$B$211,'Registrations'!$E$4:$E$211,T178)),T178))</f>
        <v>0 vs 0</v>
      </c>
      <c r="I178" s="78"/>
      <c r="J178" s="78"/>
      <c r="K178" s="78">
        <f>IF(Schedules[[#This Row],[Player 2]]="",Schedules[[#This Row],[Player 1]],Schedules[[#This Row],[Player 1]]&amp;" / "&amp;Schedules[[#This Row],[Player 2]])</f>
        <v>0</v>
      </c>
      <c r="L178" s="78">
        <v>15</v>
      </c>
      <c r="M178" s="78" t="str">
        <f t="shared" si="33"/>
        <v>WIN</v>
      </c>
      <c r="N178" s="78"/>
      <c r="O178" s="78"/>
      <c r="P178" s="78">
        <f>IF(Schedules[[#This Row],[Player 4]]="",Schedules[[#This Row],[Player 3]],Schedules[[#This Row],[Player 3]]&amp;" / "&amp;Schedules[[#This Row],[Player 4]])</f>
        <v>0</v>
      </c>
      <c r="Q178" s="78">
        <v>10</v>
      </c>
      <c r="R178" s="78" t="str">
        <f t="shared" si="34"/>
        <v>LOST</v>
      </c>
      <c r="S178" s="61">
        <f>Input!C40</f>
        <v>0</v>
      </c>
      <c r="T178" s="61">
        <f>Input!D40</f>
        <v>0</v>
      </c>
    </row>
    <row r="179" spans="1:20" hidden="1" x14ac:dyDescent="0.3">
      <c r="A179" s="109" t="s">
        <v>55</v>
      </c>
      <c r="B179" s="78" t="str">
        <f t="shared" si="32"/>
        <v>Adda</v>
      </c>
      <c r="C179" s="79">
        <f>C178</f>
        <v>46117.463194444441</v>
      </c>
      <c r="D179" s="79">
        <f>D178</f>
        <v>46117.470138888886</v>
      </c>
      <c r="E179" s="78" t="str">
        <f t="shared" si="40"/>
        <v>Group</v>
      </c>
      <c r="F179" s="78">
        <f t="shared" si="37"/>
        <v>2</v>
      </c>
      <c r="G179" s="78">
        <f t="shared" si="41"/>
        <v>6</v>
      </c>
      <c r="H179" s="78" t="str">
        <f ca="1">IF(OR(S179="",T179=""),"",IFERROR(_xludf.XLOOKUP(S179,'Registrations'!#REF!,'Registrations'!#REF!,_xludf.XLOOKUP(S179,'Registrations'!$B$4:$B$211,'Registrations'!$E$4:$E$211,S179)),S179) &amp; " vs " &amp; IFERROR(_xludf.XLOOKUP(T179,'Registrations'!#REF!,'Registrations'!#REF!,_xludf.XLOOKUP(T179,'Registrations'!$B$4:$B$211,'Registrations'!$E$4:$E$211,T179)),T179))</f>
        <v>0 vs 0</v>
      </c>
      <c r="I179" s="78"/>
      <c r="J179" s="78"/>
      <c r="K179" s="78">
        <f>IF(Schedules[[#This Row],[Player 2]]="",Schedules[[#This Row],[Player 1]],Schedules[[#This Row],[Player 1]]&amp;" / "&amp;Schedules[[#This Row],[Player 2]])</f>
        <v>0</v>
      </c>
      <c r="L179" s="78">
        <v>15</v>
      </c>
      <c r="M179" s="78" t="str">
        <f t="shared" si="33"/>
        <v>WIN</v>
      </c>
      <c r="N179" s="78"/>
      <c r="O179" s="78"/>
      <c r="P179" s="78">
        <f>IF(Schedules[[#This Row],[Player 4]]="",Schedules[[#This Row],[Player 3]],Schedules[[#This Row],[Player 3]]&amp;" / "&amp;Schedules[[#This Row],[Player 4]])</f>
        <v>0</v>
      </c>
      <c r="Q179" s="78">
        <v>10</v>
      </c>
      <c r="R179" s="78" t="str">
        <f t="shared" si="34"/>
        <v>LOST</v>
      </c>
      <c r="S179" s="61">
        <f>Input!C41</f>
        <v>0</v>
      </c>
      <c r="T179" s="61">
        <f>Input!D41</f>
        <v>0</v>
      </c>
    </row>
    <row r="180" spans="1:20" hidden="1" x14ac:dyDescent="0.3">
      <c r="A180" s="110" t="s">
        <v>55</v>
      </c>
      <c r="B180" s="76" t="str">
        <f t="shared" si="32"/>
        <v>Adda</v>
      </c>
      <c r="C180" s="77">
        <f>D179+TIME(0,3,0)</f>
        <v>46117.472222222219</v>
      </c>
      <c r="D180" s="77">
        <f>C180+TIME(0,10,0)</f>
        <v>46117.479166666664</v>
      </c>
      <c r="E180" s="76" t="s">
        <v>432</v>
      </c>
      <c r="F180" s="76">
        <f t="shared" si="37"/>
        <v>1</v>
      </c>
      <c r="G180" s="76" t="s">
        <v>431</v>
      </c>
      <c r="H180" s="76" t="str">
        <f ca="1">IF(OR(S180="",T180=""),"",IFERROR(_xludf.XLOOKUP(S180,'Registrations'!#REF!,'Registrations'!#REF!,_xludf.XLOOKUP(S180,'Registrations'!$B$4:$B$211,'Registrations'!$E$4:$E$211,S180)),S180) &amp; " vs " &amp; IFERROR(_xludf.XLOOKUP(T180,'Registrations'!#REF!,'Registrations'!#REF!,_xludf.XLOOKUP(T180,'Registrations'!$B$4:$B$211,'Registrations'!$E$4:$E$211,T180)),T180))</f>
        <v>0 vs 0</v>
      </c>
      <c r="I180" s="76"/>
      <c r="J180" s="76"/>
      <c r="K180" s="76">
        <f>IF(Schedules[[#This Row],[Player 2]]="",Schedules[[#This Row],[Player 1]],Schedules[[#This Row],[Player 1]]&amp;" / "&amp;Schedules[[#This Row],[Player 2]])</f>
        <v>0</v>
      </c>
      <c r="L180" s="76">
        <v>15</v>
      </c>
      <c r="M180" s="76" t="str">
        <f t="shared" si="33"/>
        <v>WIN</v>
      </c>
      <c r="N180" s="76"/>
      <c r="O180" s="76"/>
      <c r="P180" s="76">
        <f>IF(Schedules[[#This Row],[Player 4]]="",Schedules[[#This Row],[Player 3]],Schedules[[#This Row],[Player 3]]&amp;" / "&amp;Schedules[[#This Row],[Player 4]])</f>
        <v>0</v>
      </c>
      <c r="Q180" s="76">
        <v>10</v>
      </c>
      <c r="R180" s="76" t="str">
        <f t="shared" si="34"/>
        <v>LOST</v>
      </c>
      <c r="S180" s="61">
        <f>Input!H40</f>
        <v>0</v>
      </c>
      <c r="T180" s="61">
        <f>Input!I40</f>
        <v>0</v>
      </c>
    </row>
    <row r="181" spans="1:20" hidden="1" x14ac:dyDescent="0.3">
      <c r="A181" s="110" t="s">
        <v>55</v>
      </c>
      <c r="B181" s="76" t="str">
        <f t="shared" si="32"/>
        <v>Adda</v>
      </c>
      <c r="C181" s="77">
        <f>C180</f>
        <v>46117.472222222219</v>
      </c>
      <c r="D181" s="77">
        <f>D180</f>
        <v>46117.479166666664</v>
      </c>
      <c r="E181" s="76" t="str">
        <f>E180</f>
        <v>Pre-Q</v>
      </c>
      <c r="F181" s="76">
        <f t="shared" si="37"/>
        <v>2</v>
      </c>
      <c r="G181" s="76" t="str">
        <f>G180</f>
        <v>5 vs 6</v>
      </c>
      <c r="H181" s="76" t="str">
        <f ca="1">IF(OR(S181="",T181=""),"",IFERROR(_xludf.XLOOKUP(S181,'Registrations'!#REF!,'Registrations'!#REF!,_xludf.XLOOKUP(S181,'Registrations'!$B$4:$B$211,'Registrations'!$E$4:$E$211,S181)),S181) &amp; " vs " &amp; IFERROR(_xludf.XLOOKUP(T181,'Registrations'!#REF!,'Registrations'!#REF!,_xludf.XLOOKUP(T181,'Registrations'!$B$4:$B$211,'Registrations'!$E$4:$E$211,T181)),T181))</f>
        <v>0 vs 0</v>
      </c>
      <c r="I181" s="76"/>
      <c r="J181" s="76"/>
      <c r="K181" s="76">
        <f>IF(Schedules[[#This Row],[Player 2]]="",Schedules[[#This Row],[Player 1]],Schedules[[#This Row],[Player 1]]&amp;" / "&amp;Schedules[[#This Row],[Player 2]])</f>
        <v>0</v>
      </c>
      <c r="L181" s="76">
        <v>15</v>
      </c>
      <c r="M181" s="76" t="str">
        <f t="shared" si="33"/>
        <v>WIN</v>
      </c>
      <c r="N181" s="76"/>
      <c r="O181" s="76"/>
      <c r="P181" s="76">
        <f>IF(Schedules[[#This Row],[Player 4]]="",Schedules[[#This Row],[Player 3]],Schedules[[#This Row],[Player 3]]&amp;" / "&amp;Schedules[[#This Row],[Player 4]])</f>
        <v>0</v>
      </c>
      <c r="Q181" s="76">
        <v>10</v>
      </c>
      <c r="R181" s="76" t="str">
        <f t="shared" si="34"/>
        <v>LOST</v>
      </c>
      <c r="S181" s="61">
        <f>Input!H41</f>
        <v>0</v>
      </c>
      <c r="T181" s="61">
        <f>Input!I41</f>
        <v>0</v>
      </c>
    </row>
    <row r="182" spans="1:20" hidden="1" x14ac:dyDescent="0.3">
      <c r="A182" s="111" t="s">
        <v>55</v>
      </c>
      <c r="B182" s="74" t="str">
        <f t="shared" si="32"/>
        <v>Adda</v>
      </c>
      <c r="C182" s="75">
        <f>D181+TIME(0,3,0)</f>
        <v>46117.481249999997</v>
      </c>
      <c r="D182" s="75">
        <f>C182+TIME(0,10,0)</f>
        <v>46117.488194444442</v>
      </c>
      <c r="E182" s="74" t="s">
        <v>40</v>
      </c>
      <c r="F182" s="74">
        <f t="shared" si="37"/>
        <v>1</v>
      </c>
      <c r="G182" s="74" t="s">
        <v>429</v>
      </c>
      <c r="H182" s="74" t="str">
        <f ca="1">IF(OR(S182="",T182=""),"",IFERROR(_xludf.XLOOKUP(S182,'Registrations'!#REF!,'Registrations'!#REF!,_xludf.XLOOKUP(S182,'Registrations'!$B$4:$B$211,'Registrations'!$E$4:$E$211,S182)),S182) &amp; " vs " &amp; IFERROR(_xludf.XLOOKUP(T182,'Registrations'!#REF!,'Registrations'!#REF!,_xludf.XLOOKUP(T182,'Registrations'!$B$4:$B$211,'Registrations'!$E$4:$E$211,T182)),T182))</f>
        <v>0 vs 0</v>
      </c>
      <c r="I182" s="74"/>
      <c r="J182" s="74"/>
      <c r="K182" s="74">
        <f>IF(Schedules[[#This Row],[Player 2]]="",Schedules[[#This Row],[Player 1]],Schedules[[#This Row],[Player 1]]&amp;" / "&amp;Schedules[[#This Row],[Player 2]])</f>
        <v>0</v>
      </c>
      <c r="L182" s="74">
        <v>15</v>
      </c>
      <c r="M182" s="74" t="str">
        <f t="shared" si="33"/>
        <v>WIN</v>
      </c>
      <c r="N182" s="74"/>
      <c r="O182" s="74"/>
      <c r="P182" s="74">
        <f>IF(Schedules[[#This Row],[Player 4]]="",Schedules[[#This Row],[Player 3]],Schedules[[#This Row],[Player 3]]&amp;" / "&amp;Schedules[[#This Row],[Player 4]])</f>
        <v>0</v>
      </c>
      <c r="Q182" s="74">
        <v>10</v>
      </c>
      <c r="R182" s="74" t="str">
        <f t="shared" si="34"/>
        <v>LOST</v>
      </c>
      <c r="S182" s="61">
        <f>Input!L36</f>
        <v>0</v>
      </c>
      <c r="T182" s="61">
        <f>Input!M36</f>
        <v>0</v>
      </c>
    </row>
    <row r="183" spans="1:20" hidden="1" x14ac:dyDescent="0.3">
      <c r="A183" s="111" t="s">
        <v>55</v>
      </c>
      <c r="B183" s="74" t="str">
        <f t="shared" si="32"/>
        <v>Adda</v>
      </c>
      <c r="C183" s="75">
        <f>C182</f>
        <v>46117.481249999997</v>
      </c>
      <c r="D183" s="75">
        <f>D182</f>
        <v>46117.488194444442</v>
      </c>
      <c r="E183" s="74" t="str">
        <f>E182</f>
        <v>Quarters</v>
      </c>
      <c r="F183" s="74">
        <f t="shared" si="37"/>
        <v>2</v>
      </c>
      <c r="G183" s="74" t="s">
        <v>428</v>
      </c>
      <c r="H183" s="74" t="str">
        <f ca="1">IF(OR(S183="",T183=""),"",IFERROR(_xludf.XLOOKUP(S183,'Registrations'!#REF!,'Registrations'!#REF!,_xludf.XLOOKUP(S183,'Registrations'!$B$4:$B$211,'Registrations'!$E$4:$E$211,S183)),S183) &amp; " vs " &amp; IFERROR(_xludf.XLOOKUP(T183,'Registrations'!#REF!,'Registrations'!#REF!,_xludf.XLOOKUP(T183,'Registrations'!$B$4:$B$211,'Registrations'!$E$4:$E$211,T183)),T183))</f>
        <v>0 vs 0</v>
      </c>
      <c r="I183" s="74"/>
      <c r="J183" s="74"/>
      <c r="K183" s="74">
        <f>IF(Schedules[[#This Row],[Player 2]]="",Schedules[[#This Row],[Player 1]],Schedules[[#This Row],[Player 1]]&amp;" / "&amp;Schedules[[#This Row],[Player 2]])</f>
        <v>0</v>
      </c>
      <c r="L183" s="74">
        <v>15</v>
      </c>
      <c r="M183" s="74" t="str">
        <f t="shared" si="33"/>
        <v>WIN</v>
      </c>
      <c r="N183" s="74"/>
      <c r="O183" s="74"/>
      <c r="P183" s="74">
        <f>IF(Schedules[[#This Row],[Player 4]]="",Schedules[[#This Row],[Player 3]],Schedules[[#This Row],[Player 3]]&amp;" / "&amp;Schedules[[#This Row],[Player 4]])</f>
        <v>0</v>
      </c>
      <c r="Q183" s="74">
        <v>10</v>
      </c>
      <c r="R183" s="74" t="str">
        <f t="shared" si="34"/>
        <v>LOST</v>
      </c>
      <c r="S183" s="61">
        <f>Input!L37</f>
        <v>0</v>
      </c>
      <c r="T183" s="61">
        <f>Input!M37</f>
        <v>0</v>
      </c>
    </row>
    <row r="184" spans="1:20" hidden="1" x14ac:dyDescent="0.3">
      <c r="A184" s="111" t="s">
        <v>55</v>
      </c>
      <c r="B184" s="74" t="str">
        <f t="shared" si="32"/>
        <v>Adda</v>
      </c>
      <c r="C184" s="75">
        <f>D183+TIME(0,3,0)</f>
        <v>46117.490277777775</v>
      </c>
      <c r="D184" s="75">
        <f>C184+TIME(0,10,0)</f>
        <v>46117.49722222222</v>
      </c>
      <c r="E184" s="74" t="str">
        <f>E183</f>
        <v>Quarters</v>
      </c>
      <c r="F184" s="74">
        <f t="shared" si="37"/>
        <v>1</v>
      </c>
      <c r="G184" s="74" t="s">
        <v>430</v>
      </c>
      <c r="H184" s="74" t="str">
        <f ca="1">IF(OR(S184="",T184=""),"",IFERROR(_xludf.XLOOKUP(S184,'Registrations'!#REF!,'Registrations'!#REF!,_xludf.XLOOKUP(S184,'Registrations'!$B$4:$B$211,'Registrations'!$E$4:$E$211,S184)),S184) &amp; " vs " &amp; IFERROR(_xludf.XLOOKUP(T184,'Registrations'!#REF!,'Registrations'!#REF!,_xludf.XLOOKUP(T184,'Registrations'!$B$4:$B$211,'Registrations'!$E$4:$E$211,T184)),T184))</f>
        <v>0 vs 0</v>
      </c>
      <c r="I184" s="74"/>
      <c r="J184" s="74"/>
      <c r="K184" s="74">
        <f>IF(Schedules[[#This Row],[Player 2]]="",Schedules[[#This Row],[Player 1]],Schedules[[#This Row],[Player 1]]&amp;" / "&amp;Schedules[[#This Row],[Player 2]])</f>
        <v>0</v>
      </c>
      <c r="L184" s="74">
        <v>15</v>
      </c>
      <c r="M184" s="74" t="str">
        <f t="shared" si="33"/>
        <v>WIN</v>
      </c>
      <c r="N184" s="74"/>
      <c r="O184" s="74"/>
      <c r="P184" s="74">
        <f>IF(Schedules[[#This Row],[Player 4]]="",Schedules[[#This Row],[Player 3]],Schedules[[#This Row],[Player 3]]&amp;" / "&amp;Schedules[[#This Row],[Player 4]])</f>
        <v>0</v>
      </c>
      <c r="Q184" s="74">
        <v>10</v>
      </c>
      <c r="R184" s="74" t="str">
        <f t="shared" si="34"/>
        <v>LOST</v>
      </c>
      <c r="S184" s="61">
        <f>Input!L38</f>
        <v>0</v>
      </c>
      <c r="T184" s="61">
        <f>Input!M38</f>
        <v>0</v>
      </c>
    </row>
    <row r="185" spans="1:20" hidden="1" x14ac:dyDescent="0.3">
      <c r="A185" s="112" t="s">
        <v>55</v>
      </c>
      <c r="B185" s="70" t="str">
        <f t="shared" si="32"/>
        <v>Adda</v>
      </c>
      <c r="C185" s="71">
        <f>C184</f>
        <v>46117.490277777775</v>
      </c>
      <c r="D185" s="71">
        <f>D184</f>
        <v>46117.49722222222</v>
      </c>
      <c r="E185" s="70" t="s">
        <v>424</v>
      </c>
      <c r="F185" s="70">
        <f t="shared" si="37"/>
        <v>2</v>
      </c>
      <c r="G185" s="70"/>
      <c r="H185" s="70" t="str">
        <f>IF(OR(S185="",T185=""),"",IFERROR(_xludf.XLOOKUP(S185,'Registrations'!#REF!,'Registrations'!#REF!,_xludf.XLOOKUP(S185,'Registrations'!$B$4:$B$211,'Registrations'!$E$4:$E$211,S185)),S185) &amp; " vs " &amp; IFERROR(_xludf.XLOOKUP(T185,'Registrations'!#REF!,'Registrations'!#REF!,_xludf.XLOOKUP(T185,'Registrations'!$B$4:$B$211,'Registrations'!$E$4:$E$211,T185)),T185))</f>
        <v/>
      </c>
      <c r="I185" s="70"/>
      <c r="J185" s="70"/>
      <c r="K185" s="70">
        <f>IF(Schedules[[#This Row],[Player 2]]="",Schedules[[#This Row],[Player 1]],Schedules[[#This Row],[Player 1]]&amp;" / "&amp;Schedules[[#This Row],[Player 2]])</f>
        <v>0</v>
      </c>
      <c r="L185" s="70">
        <v>15</v>
      </c>
      <c r="M185" s="70" t="str">
        <f t="shared" si="33"/>
        <v>WIN</v>
      </c>
      <c r="N185" s="70"/>
      <c r="O185" s="70"/>
      <c r="P185" s="70">
        <f>IF(Schedules[[#This Row],[Player 4]]="",Schedules[[#This Row],[Player 3]],Schedules[[#This Row],[Player 3]]&amp;" / "&amp;Schedules[[#This Row],[Player 4]])</f>
        <v>0</v>
      </c>
      <c r="Q185" s="70">
        <v>10</v>
      </c>
      <c r="R185" s="70" t="str">
        <f t="shared" si="34"/>
        <v>LOST</v>
      </c>
      <c r="T185" s="61"/>
    </row>
    <row r="186" spans="1:20" hidden="1" x14ac:dyDescent="0.3">
      <c r="A186" s="113" t="s">
        <v>55</v>
      </c>
      <c r="B186" s="72" t="str">
        <f t="shared" si="32"/>
        <v>Adda</v>
      </c>
      <c r="C186" s="73">
        <f>D185+TIME(0,3,0)</f>
        <v>46117.499305555553</v>
      </c>
      <c r="D186" s="73">
        <f>C186+TIME(0,10,0)</f>
        <v>46117.506249999999</v>
      </c>
      <c r="E186" s="72" t="s">
        <v>444</v>
      </c>
      <c r="F186" s="72">
        <f t="shared" si="37"/>
        <v>1</v>
      </c>
      <c r="G186" s="72" t="s">
        <v>426</v>
      </c>
      <c r="H186" s="72" t="str">
        <f ca="1">IF(OR(S186="",T186=""),"",IFERROR(_xludf.XLOOKUP(S186,'Registrations'!#REF!,'Registrations'!#REF!,_xludf.XLOOKUP(S186,'Registrations'!$B$4:$B$211,'Registrations'!$E$4:$E$211,S186)),S186) &amp; " vs " &amp; IFERROR(_xludf.XLOOKUP(T186,'Registrations'!#REF!,'Registrations'!#REF!,_xludf.XLOOKUP(T186,'Registrations'!$B$4:$B$211,'Registrations'!$E$4:$E$211,T186)),T186))</f>
        <v>0 vs 0</v>
      </c>
      <c r="I186" s="72"/>
      <c r="J186" s="72"/>
      <c r="K186" s="72">
        <f>IF(Schedules[[#This Row],[Player 2]]="",Schedules[[#This Row],[Player 1]],Schedules[[#This Row],[Player 1]]&amp;" / "&amp;Schedules[[#This Row],[Player 2]])</f>
        <v>0</v>
      </c>
      <c r="L186" s="72">
        <v>15</v>
      </c>
      <c r="M186" s="72" t="str">
        <f t="shared" si="33"/>
        <v>WIN</v>
      </c>
      <c r="N186" s="72"/>
      <c r="O186" s="72"/>
      <c r="P186" s="72">
        <f>IF(Schedules[[#This Row],[Player 4]]="",Schedules[[#This Row],[Player 3]],Schedules[[#This Row],[Player 3]]&amp;" / "&amp;Schedules[[#This Row],[Player 4]])</f>
        <v>0</v>
      </c>
      <c r="Q186" s="72">
        <v>10</v>
      </c>
      <c r="R186" s="72" t="str">
        <f t="shared" si="34"/>
        <v>LOST</v>
      </c>
      <c r="S186" s="61">
        <f>Input!P36</f>
        <v>0</v>
      </c>
      <c r="T186" s="61">
        <f>Input!Q36</f>
        <v>0</v>
      </c>
    </row>
    <row r="187" spans="1:20" hidden="1" x14ac:dyDescent="0.3">
      <c r="A187" s="113" t="s">
        <v>55</v>
      </c>
      <c r="B187" s="72" t="str">
        <f t="shared" si="32"/>
        <v>Adda</v>
      </c>
      <c r="C187" s="73">
        <f>C186</f>
        <v>46117.499305555553</v>
      </c>
      <c r="D187" s="73">
        <f>D186</f>
        <v>46117.506249999999</v>
      </c>
      <c r="E187" s="72" t="str">
        <f>E186</f>
        <v>Semi Finals</v>
      </c>
      <c r="F187" s="72">
        <f t="shared" si="37"/>
        <v>2</v>
      </c>
      <c r="G187" s="72" t="s">
        <v>425</v>
      </c>
      <c r="H187" s="72" t="str">
        <f ca="1">IF(OR(S187="",T187=""),"",IFERROR(_xludf.XLOOKUP(S187,'Registrations'!#REF!,'Registrations'!#REF!,_xludf.XLOOKUP(S187,'Registrations'!$B$4:$B$211,'Registrations'!$E$4:$E$211,S187)),S187) &amp; " vs " &amp; IFERROR(_xludf.XLOOKUP(T187,'Registrations'!#REF!,'Registrations'!#REF!,_xludf.XLOOKUP(T187,'Registrations'!$B$4:$B$211,'Registrations'!$E$4:$E$211,T187)),T187))</f>
        <v>0 vs WC 1</v>
      </c>
      <c r="I187" s="72"/>
      <c r="J187" s="72"/>
      <c r="K187" s="72">
        <f>IF(Schedules[[#This Row],[Player 2]]="",Schedules[[#This Row],[Player 1]],Schedules[[#This Row],[Player 1]]&amp;" / "&amp;Schedules[[#This Row],[Player 2]])</f>
        <v>0</v>
      </c>
      <c r="L187" s="72">
        <v>15</v>
      </c>
      <c r="M187" s="72" t="str">
        <f t="shared" si="33"/>
        <v>WIN</v>
      </c>
      <c r="N187" s="72"/>
      <c r="O187" s="72"/>
      <c r="P187" s="72">
        <f>IF(Schedules[[#This Row],[Player 4]]="",Schedules[[#This Row],[Player 3]],Schedules[[#This Row],[Player 3]]&amp;" / "&amp;Schedules[[#This Row],[Player 4]])</f>
        <v>0</v>
      </c>
      <c r="Q187" s="72">
        <v>10</v>
      </c>
      <c r="R187" s="72" t="str">
        <f t="shared" si="34"/>
        <v>LOST</v>
      </c>
      <c r="S187" s="61">
        <f>Input!P37</f>
        <v>0</v>
      </c>
      <c r="T187" s="61" t="str">
        <f>Input!Q37</f>
        <v>WC 1</v>
      </c>
    </row>
    <row r="188" spans="1:20" hidden="1" x14ac:dyDescent="0.3">
      <c r="A188" s="114" t="s">
        <v>55</v>
      </c>
      <c r="B188" s="68" t="str">
        <f t="shared" si="32"/>
        <v>Adda</v>
      </c>
      <c r="C188" s="69">
        <f>D187+TIME(0,3,0)</f>
        <v>46117.508333333331</v>
      </c>
      <c r="D188" s="69">
        <f>C188+TIME(0,10,0)</f>
        <v>46117.515277777777</v>
      </c>
      <c r="E188" s="68" t="s">
        <v>41</v>
      </c>
      <c r="F188" s="68">
        <f t="shared" si="37"/>
        <v>1</v>
      </c>
      <c r="G188" s="68" t="s">
        <v>422</v>
      </c>
      <c r="H188" s="68" t="str">
        <f ca="1">IF(OR(S188="",T188=""),"",IFERROR(_xludf.XLOOKUP(S188,'Registrations'!#REF!,'Registrations'!#REF!,_xludf.XLOOKUP(S188,'Registrations'!$B$4:$B$211,'Registrations'!$E$4:$E$211,S188)),S188) &amp; " vs " &amp; IFERROR(_xludf.XLOOKUP(T188,'Registrations'!#REF!,'Registrations'!#REF!,_xludf.XLOOKUP(T188,'Registrations'!$B$4:$B$211,'Registrations'!$E$4:$E$211,T188)),T188))</f>
        <v>0 vs 0</v>
      </c>
      <c r="I188" s="68"/>
      <c r="J188" s="68"/>
      <c r="K188" s="68">
        <f>IF(Schedules[[#This Row],[Player 2]]="",Schedules[[#This Row],[Player 1]],Schedules[[#This Row],[Player 1]]&amp;" / "&amp;Schedules[[#This Row],[Player 2]])</f>
        <v>0</v>
      </c>
      <c r="L188" s="68">
        <v>15</v>
      </c>
      <c r="M188" s="68" t="str">
        <f t="shared" si="33"/>
        <v>WIN</v>
      </c>
      <c r="N188" s="68"/>
      <c r="O188" s="68"/>
      <c r="P188" s="68">
        <f>IF(Schedules[[#This Row],[Player 4]]="",Schedules[[#This Row],[Player 3]],Schedules[[#This Row],[Player 3]]&amp;" / "&amp;Schedules[[#This Row],[Player 4]])</f>
        <v>0</v>
      </c>
      <c r="Q188" s="68">
        <v>10</v>
      </c>
      <c r="R188" s="68" t="str">
        <f t="shared" si="34"/>
        <v>LOST</v>
      </c>
      <c r="S188" s="61">
        <f>Input!T36</f>
        <v>0</v>
      </c>
      <c r="T188" s="61">
        <f>Input!U36</f>
        <v>0</v>
      </c>
    </row>
    <row r="189" spans="1:20" hidden="1" x14ac:dyDescent="0.3">
      <c r="A189" s="109" t="s">
        <v>56</v>
      </c>
      <c r="B189" s="78" t="str">
        <f t="shared" si="32"/>
        <v>Adda</v>
      </c>
      <c r="C189" s="79">
        <v>0.58333333333333337</v>
      </c>
      <c r="D189" s="79">
        <f>C189+TIME(0,13,0)</f>
        <v>0.59236111111111112</v>
      </c>
      <c r="E189" s="78" t="s">
        <v>433</v>
      </c>
      <c r="F189" s="78">
        <v>1</v>
      </c>
      <c r="G189" s="78">
        <v>1</v>
      </c>
      <c r="H189" s="78" t="str">
        <f ca="1">IF(OR(S189="",T189=""),"",IFERROR(_xludf.XLOOKUP(S189,'Registrations'!#REF!,'Registrations'!#REF!,_xludf.XLOOKUP(S189,'Registrations'!$B$4:$B$211,'Registrations'!$E$4:$E$211,S189)),S189) &amp; " vs " &amp; IFERROR(_xludf.XLOOKUP(T189,'Registrations'!#REF!,'Registrations'!#REF!,_xludf.XLOOKUP(T189,'Registrations'!$B$4:$B$211,'Registrations'!$E$4:$E$211,T189)),T189))</f>
        <v>0 vs 0</v>
      </c>
      <c r="I189" s="78"/>
      <c r="J189" s="78"/>
      <c r="K189" s="78">
        <f>IF(Schedules[[#This Row],[Player 2]]="",Schedules[[#This Row],[Player 1]],Schedules[[#This Row],[Player 1]]&amp;" / "&amp;Schedules[[#This Row],[Player 2]])</f>
        <v>0</v>
      </c>
      <c r="L189" s="78">
        <v>15</v>
      </c>
      <c r="M189" s="78" t="str">
        <f t="shared" si="33"/>
        <v>WIN</v>
      </c>
      <c r="N189" s="78"/>
      <c r="O189" s="78"/>
      <c r="P189" s="78">
        <f>IF(Schedules[[#This Row],[Player 4]]="",Schedules[[#This Row],[Player 3]],Schedules[[#This Row],[Player 3]]&amp;" / "&amp;Schedules[[#This Row],[Player 4]])</f>
        <v>0</v>
      </c>
      <c r="Q189" s="78">
        <v>10</v>
      </c>
      <c r="R189" s="78" t="str">
        <f t="shared" si="34"/>
        <v>LOST</v>
      </c>
      <c r="S189" s="61">
        <f>Input!B47</f>
        <v>0</v>
      </c>
      <c r="T189" s="61">
        <f>Input!C47</f>
        <v>0</v>
      </c>
    </row>
    <row r="190" spans="1:20" hidden="1" x14ac:dyDescent="0.3">
      <c r="A190" s="109" t="s">
        <v>56</v>
      </c>
      <c r="B190" s="78" t="str">
        <f t="shared" si="32"/>
        <v>Adda</v>
      </c>
      <c r="C190" s="79">
        <f>C189</f>
        <v>0.58333333333333337</v>
      </c>
      <c r="D190" s="79">
        <f>D189</f>
        <v>0.59236111111111112</v>
      </c>
      <c r="E190" s="78" t="str">
        <f>E189</f>
        <v>Group</v>
      </c>
      <c r="F190" s="78">
        <v>2</v>
      </c>
      <c r="G190" s="78">
        <v>2</v>
      </c>
      <c r="H190" s="78" t="str">
        <f ca="1">IF(OR(S190="",T190=""),"",IFERROR(_xludf.XLOOKUP(S190,'Registrations'!#REF!,'Registrations'!#REF!,_xludf.XLOOKUP(S190,'Registrations'!$B$4:$B$211,'Registrations'!$E$4:$E$211,S190)),S190) &amp; " vs " &amp; IFERROR(_xludf.XLOOKUP(T190,'Registrations'!#REF!,'Registrations'!#REF!,_xludf.XLOOKUP(T190,'Registrations'!$B$4:$B$211,'Registrations'!$E$4:$E$211,T190)),T190))</f>
        <v>0 vs 0</v>
      </c>
      <c r="I190" s="78"/>
      <c r="J190" s="78"/>
      <c r="K190" s="78">
        <f>IF(Schedules[[#This Row],[Player 2]]="",Schedules[[#This Row],[Player 1]],Schedules[[#This Row],[Player 1]]&amp;" / "&amp;Schedules[[#This Row],[Player 2]])</f>
        <v>0</v>
      </c>
      <c r="L190" s="78">
        <v>15</v>
      </c>
      <c r="M190" s="78" t="str">
        <f t="shared" si="33"/>
        <v>WIN</v>
      </c>
      <c r="N190" s="78"/>
      <c r="O190" s="78"/>
      <c r="P190" s="78">
        <f>IF(Schedules[[#This Row],[Player 4]]="",Schedules[[#This Row],[Player 3]],Schedules[[#This Row],[Player 3]]&amp;" / "&amp;Schedules[[#This Row],[Player 4]])</f>
        <v>0</v>
      </c>
      <c r="Q190" s="78">
        <v>10</v>
      </c>
      <c r="R190" s="78" t="str">
        <f t="shared" si="34"/>
        <v>LOST</v>
      </c>
      <c r="S190" s="61">
        <f>Input!B48</f>
        <v>0</v>
      </c>
      <c r="T190" s="61">
        <f>Input!C48</f>
        <v>0</v>
      </c>
    </row>
    <row r="191" spans="1:20" hidden="1" x14ac:dyDescent="0.3">
      <c r="A191" s="109" t="s">
        <v>56</v>
      </c>
      <c r="B191" s="78" t="str">
        <f t="shared" si="32"/>
        <v>Adda</v>
      </c>
      <c r="C191" s="79">
        <f>D190+TIME(0,3,0)</f>
        <v>0.59444444444444444</v>
      </c>
      <c r="D191" s="79">
        <f>C191+TIME(0,13,0)</f>
        <v>0.60347222222222219</v>
      </c>
      <c r="E191" s="78" t="str">
        <f t="shared" ref="E191:E200" si="42">E190</f>
        <v>Group</v>
      </c>
      <c r="F191" s="78">
        <f t="shared" ref="F191:G200" si="43">F189</f>
        <v>1</v>
      </c>
      <c r="G191" s="78">
        <f t="shared" si="43"/>
        <v>1</v>
      </c>
      <c r="H191" s="78" t="str">
        <f ca="1">IF(OR(S191="",T191=""),"",IFERROR(_xludf.XLOOKUP(S191,'Registrations'!#REF!,'Registrations'!#REF!,_xludf.XLOOKUP(S191,'Registrations'!$B$4:$B$211,'Registrations'!$E$4:$E$211,S191)),S191) &amp; " vs " &amp; IFERROR(_xludf.XLOOKUP(T191,'Registrations'!#REF!,'Registrations'!#REF!,_xludf.XLOOKUP(T191,'Registrations'!$B$4:$B$211,'Registrations'!$E$4:$E$211,T191)),T191))</f>
        <v>0 vs 0</v>
      </c>
      <c r="I191" s="78"/>
      <c r="J191" s="78"/>
      <c r="K191" s="78">
        <f>IF(Schedules[[#This Row],[Player 2]]="",Schedules[[#This Row],[Player 1]],Schedules[[#This Row],[Player 1]]&amp;" / "&amp;Schedules[[#This Row],[Player 2]])</f>
        <v>0</v>
      </c>
      <c r="L191" s="78">
        <v>15</v>
      </c>
      <c r="M191" s="78" t="str">
        <f t="shared" si="33"/>
        <v>WIN</v>
      </c>
      <c r="N191" s="78"/>
      <c r="O191" s="78"/>
      <c r="P191" s="78">
        <f>IF(Schedules[[#This Row],[Player 4]]="",Schedules[[#This Row],[Player 3]],Schedules[[#This Row],[Player 3]]&amp;" / "&amp;Schedules[[#This Row],[Player 4]])</f>
        <v>0</v>
      </c>
      <c r="Q191" s="78">
        <v>10</v>
      </c>
      <c r="R191" s="78" t="str">
        <f t="shared" si="34"/>
        <v>LOST</v>
      </c>
      <c r="S191" s="61">
        <f>Input!D47</f>
        <v>0</v>
      </c>
      <c r="T191" s="61">
        <f>Input!E47</f>
        <v>0</v>
      </c>
    </row>
    <row r="192" spans="1:20" hidden="1" x14ac:dyDescent="0.3">
      <c r="A192" s="109" t="s">
        <v>56</v>
      </c>
      <c r="B192" s="78" t="str">
        <f t="shared" si="32"/>
        <v>Adda</v>
      </c>
      <c r="C192" s="79">
        <f>C191</f>
        <v>0.59444444444444444</v>
      </c>
      <c r="D192" s="79">
        <f>D191</f>
        <v>0.60347222222222219</v>
      </c>
      <c r="E192" s="78" t="str">
        <f t="shared" si="42"/>
        <v>Group</v>
      </c>
      <c r="F192" s="78">
        <f t="shared" si="43"/>
        <v>2</v>
      </c>
      <c r="G192" s="78">
        <f t="shared" si="43"/>
        <v>2</v>
      </c>
      <c r="H192" s="78" t="str">
        <f ca="1">IF(OR(S192="",T192=""),"",IFERROR(_xludf.XLOOKUP(S192,'Registrations'!#REF!,'Registrations'!#REF!,_xludf.XLOOKUP(S192,'Registrations'!$B$4:$B$211,'Registrations'!$E$4:$E$211,S192)),S192) &amp; " vs " &amp; IFERROR(_xludf.XLOOKUP(T192,'Registrations'!#REF!,'Registrations'!#REF!,_xludf.XLOOKUP(T192,'Registrations'!$B$4:$B$211,'Registrations'!$E$4:$E$211,T192)),T192))</f>
        <v>0 vs 0</v>
      </c>
      <c r="I192" s="78"/>
      <c r="J192" s="78"/>
      <c r="K192" s="78">
        <f>IF(Schedules[[#This Row],[Player 2]]="",Schedules[[#This Row],[Player 1]],Schedules[[#This Row],[Player 1]]&amp;" / "&amp;Schedules[[#This Row],[Player 2]])</f>
        <v>0</v>
      </c>
      <c r="L192" s="78">
        <v>15</v>
      </c>
      <c r="M192" s="78" t="str">
        <f t="shared" si="33"/>
        <v>WIN</v>
      </c>
      <c r="N192" s="78"/>
      <c r="O192" s="78"/>
      <c r="P192" s="78">
        <f>IF(Schedules[[#This Row],[Player 4]]="",Schedules[[#This Row],[Player 3]],Schedules[[#This Row],[Player 3]]&amp;" / "&amp;Schedules[[#This Row],[Player 4]])</f>
        <v>0</v>
      </c>
      <c r="Q192" s="78">
        <v>10</v>
      </c>
      <c r="R192" s="78" t="str">
        <f t="shared" si="34"/>
        <v>LOST</v>
      </c>
      <c r="S192" s="61">
        <f>Input!D48</f>
        <v>0</v>
      </c>
      <c r="T192" s="61">
        <f>Input!E48</f>
        <v>0</v>
      </c>
    </row>
    <row r="193" spans="1:20" hidden="1" x14ac:dyDescent="0.3">
      <c r="A193" s="109" t="s">
        <v>56</v>
      </c>
      <c r="B193" s="78" t="str">
        <f t="shared" si="32"/>
        <v>Adda</v>
      </c>
      <c r="C193" s="79">
        <f>D192+TIME(0,3,0)</f>
        <v>0.60555555555555551</v>
      </c>
      <c r="D193" s="79">
        <f>C193+TIME(0,13,0)</f>
        <v>0.61458333333333326</v>
      </c>
      <c r="E193" s="78" t="str">
        <f t="shared" si="42"/>
        <v>Group</v>
      </c>
      <c r="F193" s="78">
        <f t="shared" si="43"/>
        <v>1</v>
      </c>
      <c r="G193" s="78">
        <f t="shared" si="43"/>
        <v>1</v>
      </c>
      <c r="H193" s="78" t="str">
        <f ca="1">IF(OR(S193="",T193=""),"",IFERROR(_xludf.XLOOKUP(S193,'Registrations'!#REF!,'Registrations'!#REF!,_xludf.XLOOKUP(S193,'Registrations'!$B$4:$B$211,'Registrations'!$E$4:$E$211,S193)),S193) &amp; " vs " &amp; IFERROR(_xludf.XLOOKUP(T193,'Registrations'!#REF!,'Registrations'!#REF!,_xludf.XLOOKUP(T193,'Registrations'!$B$4:$B$211,'Registrations'!$E$4:$E$211,T193)),T193))</f>
        <v>0 vs 0</v>
      </c>
      <c r="I193" s="78"/>
      <c r="J193" s="78"/>
      <c r="K193" s="78">
        <f>IF(Schedules[[#This Row],[Player 2]]="",Schedules[[#This Row],[Player 1]],Schedules[[#This Row],[Player 1]]&amp;" / "&amp;Schedules[[#This Row],[Player 2]])</f>
        <v>0</v>
      </c>
      <c r="L193" s="78">
        <v>15</v>
      </c>
      <c r="M193" s="78" t="str">
        <f t="shared" si="33"/>
        <v>WIN</v>
      </c>
      <c r="N193" s="78"/>
      <c r="O193" s="78"/>
      <c r="P193" s="78">
        <f>IF(Schedules[[#This Row],[Player 4]]="",Schedules[[#This Row],[Player 3]],Schedules[[#This Row],[Player 3]]&amp;" / "&amp;Schedules[[#This Row],[Player 4]])</f>
        <v>0</v>
      </c>
      <c r="Q193" s="78">
        <v>10</v>
      </c>
      <c r="R193" s="78" t="str">
        <f t="shared" si="34"/>
        <v>LOST</v>
      </c>
      <c r="S193" s="61">
        <f>Input!B47</f>
        <v>0</v>
      </c>
      <c r="T193" s="61">
        <f>Input!D47</f>
        <v>0</v>
      </c>
    </row>
    <row r="194" spans="1:20" hidden="1" x14ac:dyDescent="0.3">
      <c r="A194" s="109" t="s">
        <v>56</v>
      </c>
      <c r="B194" s="78" t="str">
        <f t="shared" si="32"/>
        <v>Adda</v>
      </c>
      <c r="C194" s="79">
        <f>C193</f>
        <v>0.60555555555555551</v>
      </c>
      <c r="D194" s="79">
        <f>D193</f>
        <v>0.61458333333333326</v>
      </c>
      <c r="E194" s="78" t="str">
        <f t="shared" si="42"/>
        <v>Group</v>
      </c>
      <c r="F194" s="78">
        <f t="shared" si="43"/>
        <v>2</v>
      </c>
      <c r="G194" s="78">
        <f t="shared" si="43"/>
        <v>2</v>
      </c>
      <c r="H194" s="78" t="str">
        <f ca="1">IF(OR(S194="",T194=""),"",IFERROR(_xludf.XLOOKUP(S194,'Registrations'!#REF!,'Registrations'!#REF!,_xludf.XLOOKUP(S194,'Registrations'!$B$4:$B$211,'Registrations'!$E$4:$E$211,S194)),S194) &amp; " vs " &amp; IFERROR(_xludf.XLOOKUP(T194,'Registrations'!#REF!,'Registrations'!#REF!,_xludf.XLOOKUP(T194,'Registrations'!$B$4:$B$211,'Registrations'!$E$4:$E$211,T194)),T194))</f>
        <v>0 vs 0</v>
      </c>
      <c r="I194" s="78"/>
      <c r="J194" s="78"/>
      <c r="K194" s="78">
        <f>IF(Schedules[[#This Row],[Player 2]]="",Schedules[[#This Row],[Player 1]],Schedules[[#This Row],[Player 1]]&amp;" / "&amp;Schedules[[#This Row],[Player 2]])</f>
        <v>0</v>
      </c>
      <c r="L194" s="78">
        <v>15</v>
      </c>
      <c r="M194" s="78" t="str">
        <f t="shared" si="33"/>
        <v>WIN</v>
      </c>
      <c r="N194" s="78"/>
      <c r="O194" s="78"/>
      <c r="P194" s="78">
        <f>IF(Schedules[[#This Row],[Player 4]]="",Schedules[[#This Row],[Player 3]],Schedules[[#This Row],[Player 3]]&amp;" / "&amp;Schedules[[#This Row],[Player 4]])</f>
        <v>0</v>
      </c>
      <c r="Q194" s="78">
        <v>10</v>
      </c>
      <c r="R194" s="78" t="str">
        <f t="shared" si="34"/>
        <v>LOST</v>
      </c>
      <c r="S194" s="61">
        <f>Input!B48</f>
        <v>0</v>
      </c>
      <c r="T194" s="61">
        <f>Input!D48</f>
        <v>0</v>
      </c>
    </row>
    <row r="195" spans="1:20" hidden="1" x14ac:dyDescent="0.3">
      <c r="A195" s="109" t="s">
        <v>56</v>
      </c>
      <c r="B195" s="78" t="str">
        <f t="shared" si="32"/>
        <v>Adda</v>
      </c>
      <c r="C195" s="79">
        <f>D194+TIME(0,3,0)</f>
        <v>0.61666666666666659</v>
      </c>
      <c r="D195" s="79">
        <f>C195+TIME(0,13,0)</f>
        <v>0.62569444444444433</v>
      </c>
      <c r="E195" s="78" t="str">
        <f t="shared" si="42"/>
        <v>Group</v>
      </c>
      <c r="F195" s="78">
        <f t="shared" si="43"/>
        <v>1</v>
      </c>
      <c r="G195" s="78">
        <f t="shared" si="43"/>
        <v>1</v>
      </c>
      <c r="H195" s="78" t="str">
        <f ca="1">IF(OR(S195="",T195=""),"",IFERROR(_xludf.XLOOKUP(S195,'Registrations'!#REF!,'Registrations'!#REF!,_xludf.XLOOKUP(S195,'Registrations'!$B$4:$B$211,'Registrations'!$E$4:$E$211,S195)),S195) &amp; " vs " &amp; IFERROR(_xludf.XLOOKUP(T195,'Registrations'!#REF!,'Registrations'!#REF!,_xludf.XLOOKUP(T195,'Registrations'!$B$4:$B$211,'Registrations'!$E$4:$E$211,T195)),T195))</f>
        <v>0 vs 0</v>
      </c>
      <c r="I195" s="78"/>
      <c r="J195" s="78"/>
      <c r="K195" s="78">
        <f>IF(Schedules[[#This Row],[Player 2]]="",Schedules[[#This Row],[Player 1]],Schedules[[#This Row],[Player 1]]&amp;" / "&amp;Schedules[[#This Row],[Player 2]])</f>
        <v>0</v>
      </c>
      <c r="L195" s="78">
        <v>15</v>
      </c>
      <c r="M195" s="78" t="str">
        <f t="shared" si="33"/>
        <v>WIN</v>
      </c>
      <c r="N195" s="78"/>
      <c r="O195" s="78"/>
      <c r="P195" s="78">
        <f>IF(Schedules[[#This Row],[Player 4]]="",Schedules[[#This Row],[Player 3]],Schedules[[#This Row],[Player 3]]&amp;" / "&amp;Schedules[[#This Row],[Player 4]])</f>
        <v>0</v>
      </c>
      <c r="Q195" s="78">
        <v>10</v>
      </c>
      <c r="R195" s="78" t="str">
        <f t="shared" si="34"/>
        <v>LOST</v>
      </c>
      <c r="S195" s="61">
        <f>Input!C47</f>
        <v>0</v>
      </c>
      <c r="T195" s="61">
        <f>Input!E47</f>
        <v>0</v>
      </c>
    </row>
    <row r="196" spans="1:20" hidden="1" x14ac:dyDescent="0.3">
      <c r="A196" s="109" t="s">
        <v>56</v>
      </c>
      <c r="B196" s="78" t="str">
        <f t="shared" ref="B196:B237" si="44">B195</f>
        <v>Adda</v>
      </c>
      <c r="C196" s="79">
        <f>C195</f>
        <v>0.61666666666666659</v>
      </c>
      <c r="D196" s="79">
        <f>D195</f>
        <v>0.62569444444444433</v>
      </c>
      <c r="E196" s="78" t="str">
        <f t="shared" si="42"/>
        <v>Group</v>
      </c>
      <c r="F196" s="78">
        <f t="shared" si="43"/>
        <v>2</v>
      </c>
      <c r="G196" s="78">
        <f t="shared" si="43"/>
        <v>2</v>
      </c>
      <c r="H196" s="78" t="str">
        <f ca="1">IF(OR(S196="",T196=""),"",IFERROR(_xludf.XLOOKUP(S196,'Registrations'!#REF!,'Registrations'!#REF!,_xludf.XLOOKUP(S196,'Registrations'!$B$4:$B$211,'Registrations'!$E$4:$E$211,S196)),S196) &amp; " vs " &amp; IFERROR(_xludf.XLOOKUP(T196,'Registrations'!#REF!,'Registrations'!#REF!,_xludf.XLOOKUP(T196,'Registrations'!$B$4:$B$211,'Registrations'!$E$4:$E$211,T196)),T196))</f>
        <v>0 vs 0</v>
      </c>
      <c r="I196" s="78"/>
      <c r="J196" s="78"/>
      <c r="K196" s="78">
        <f>IF(Schedules[[#This Row],[Player 2]]="",Schedules[[#This Row],[Player 1]],Schedules[[#This Row],[Player 1]]&amp;" / "&amp;Schedules[[#This Row],[Player 2]])</f>
        <v>0</v>
      </c>
      <c r="L196" s="78">
        <v>15</v>
      </c>
      <c r="M196" s="78" t="str">
        <f t="shared" si="33"/>
        <v>WIN</v>
      </c>
      <c r="N196" s="78"/>
      <c r="O196" s="78"/>
      <c r="P196" s="78">
        <f>IF(Schedules[[#This Row],[Player 4]]="",Schedules[[#This Row],[Player 3]],Schedules[[#This Row],[Player 3]]&amp;" / "&amp;Schedules[[#This Row],[Player 4]])</f>
        <v>0</v>
      </c>
      <c r="Q196" s="78">
        <v>10</v>
      </c>
      <c r="R196" s="78" t="str">
        <f t="shared" si="34"/>
        <v>LOST</v>
      </c>
      <c r="S196" s="61">
        <f>Input!C48</f>
        <v>0</v>
      </c>
      <c r="T196" s="61">
        <f>Input!E48</f>
        <v>0</v>
      </c>
    </row>
    <row r="197" spans="1:20" hidden="1" x14ac:dyDescent="0.3">
      <c r="A197" s="109" t="s">
        <v>56</v>
      </c>
      <c r="B197" s="78" t="str">
        <f t="shared" si="44"/>
        <v>Adda</v>
      </c>
      <c r="C197" s="79">
        <f>D196+TIME(0,3,0)</f>
        <v>0.62777777777777766</v>
      </c>
      <c r="D197" s="79">
        <f>C197+TIME(0,13,0)</f>
        <v>0.6368055555555554</v>
      </c>
      <c r="E197" s="78" t="str">
        <f t="shared" si="42"/>
        <v>Group</v>
      </c>
      <c r="F197" s="78">
        <f t="shared" si="43"/>
        <v>1</v>
      </c>
      <c r="G197" s="78">
        <f t="shared" si="43"/>
        <v>1</v>
      </c>
      <c r="H197" s="78" t="str">
        <f ca="1">IF(OR(S197="",T197=""),"",IFERROR(_xludf.XLOOKUP(S197,'Registrations'!#REF!,'Registrations'!#REF!,_xludf.XLOOKUP(S197,'Registrations'!$B$4:$B$211,'Registrations'!$E$4:$E$211,S197)),S197) &amp; " vs " &amp; IFERROR(_xludf.XLOOKUP(T197,'Registrations'!#REF!,'Registrations'!#REF!,_xludf.XLOOKUP(T197,'Registrations'!$B$4:$B$211,'Registrations'!$E$4:$E$211,T197)),T197))</f>
        <v>0 vs 0</v>
      </c>
      <c r="I197" s="78"/>
      <c r="J197" s="78"/>
      <c r="K197" s="78">
        <f>IF(Schedules[[#This Row],[Player 2]]="",Schedules[[#This Row],[Player 1]],Schedules[[#This Row],[Player 1]]&amp;" / "&amp;Schedules[[#This Row],[Player 2]])</f>
        <v>0</v>
      </c>
      <c r="L197" s="78">
        <v>15</v>
      </c>
      <c r="M197" s="78" t="str">
        <f t="shared" si="33"/>
        <v>WIN</v>
      </c>
      <c r="N197" s="78"/>
      <c r="O197" s="78"/>
      <c r="P197" s="78">
        <f>IF(Schedules[[#This Row],[Player 4]]="",Schedules[[#This Row],[Player 3]],Schedules[[#This Row],[Player 3]]&amp;" / "&amp;Schedules[[#This Row],[Player 4]])</f>
        <v>0</v>
      </c>
      <c r="Q197" s="78">
        <v>10</v>
      </c>
      <c r="R197" s="78" t="str">
        <f t="shared" si="34"/>
        <v>LOST</v>
      </c>
      <c r="S197" s="61">
        <f>Input!B47</f>
        <v>0</v>
      </c>
      <c r="T197" s="61">
        <f>Input!E47</f>
        <v>0</v>
      </c>
    </row>
    <row r="198" spans="1:20" hidden="1" x14ac:dyDescent="0.3">
      <c r="A198" s="109" t="s">
        <v>56</v>
      </c>
      <c r="B198" s="78" t="str">
        <f t="shared" si="44"/>
        <v>Adda</v>
      </c>
      <c r="C198" s="79">
        <f>C197</f>
        <v>0.62777777777777766</v>
      </c>
      <c r="D198" s="79">
        <f>D197</f>
        <v>0.6368055555555554</v>
      </c>
      <c r="E198" s="78" t="str">
        <f t="shared" si="42"/>
        <v>Group</v>
      </c>
      <c r="F198" s="78">
        <f t="shared" si="43"/>
        <v>2</v>
      </c>
      <c r="G198" s="78">
        <f t="shared" si="43"/>
        <v>2</v>
      </c>
      <c r="H198" s="78" t="str">
        <f ca="1">IF(OR(S198="",T198=""),"",IFERROR(_xludf.XLOOKUP(S198,'Registrations'!#REF!,'Registrations'!#REF!,_xludf.XLOOKUP(S198,'Registrations'!$B$4:$B$211,'Registrations'!$E$4:$E$211,S198)),S198) &amp; " vs " &amp; IFERROR(_xludf.XLOOKUP(T198,'Registrations'!#REF!,'Registrations'!#REF!,_xludf.XLOOKUP(T198,'Registrations'!$B$4:$B$211,'Registrations'!$E$4:$E$211,T198)),T198))</f>
        <v>0 vs 0</v>
      </c>
      <c r="I198" s="78"/>
      <c r="J198" s="78"/>
      <c r="K198" s="78">
        <f>IF(Schedules[[#This Row],[Player 2]]="",Schedules[[#This Row],[Player 1]],Schedules[[#This Row],[Player 1]]&amp;" / "&amp;Schedules[[#This Row],[Player 2]])</f>
        <v>0</v>
      </c>
      <c r="L198" s="78">
        <v>15</v>
      </c>
      <c r="M198" s="78" t="str">
        <f t="shared" si="33"/>
        <v>WIN</v>
      </c>
      <c r="N198" s="78"/>
      <c r="O198" s="78"/>
      <c r="P198" s="78">
        <f>IF(Schedules[[#This Row],[Player 4]]="",Schedules[[#This Row],[Player 3]],Schedules[[#This Row],[Player 3]]&amp;" / "&amp;Schedules[[#This Row],[Player 4]])</f>
        <v>0</v>
      </c>
      <c r="Q198" s="78">
        <v>10</v>
      </c>
      <c r="R198" s="78" t="str">
        <f t="shared" si="34"/>
        <v>LOST</v>
      </c>
      <c r="S198" s="61">
        <f>Input!B48</f>
        <v>0</v>
      </c>
      <c r="T198" s="61">
        <f>Input!E48</f>
        <v>0</v>
      </c>
    </row>
    <row r="199" spans="1:20" hidden="1" x14ac:dyDescent="0.3">
      <c r="A199" s="109" t="s">
        <v>56</v>
      </c>
      <c r="B199" s="78" t="str">
        <f t="shared" si="44"/>
        <v>Adda</v>
      </c>
      <c r="C199" s="79">
        <f>D198+TIME(0,3,0)</f>
        <v>0.63888888888888873</v>
      </c>
      <c r="D199" s="79">
        <f>C199+TIME(0,13,0)</f>
        <v>0.64791666666666647</v>
      </c>
      <c r="E199" s="78" t="str">
        <f t="shared" si="42"/>
        <v>Group</v>
      </c>
      <c r="F199" s="78">
        <f t="shared" si="43"/>
        <v>1</v>
      </c>
      <c r="G199" s="78">
        <f t="shared" si="43"/>
        <v>1</v>
      </c>
      <c r="H199" s="78" t="str">
        <f ca="1">IF(OR(S199="",T199=""),"",IFERROR(_xludf.XLOOKUP(S199,'Registrations'!#REF!,'Registrations'!#REF!,_xludf.XLOOKUP(S199,'Registrations'!$B$4:$B$211,'Registrations'!$E$4:$E$211,S199)),S199) &amp; " vs " &amp; IFERROR(_xludf.XLOOKUP(T199,'Registrations'!#REF!,'Registrations'!#REF!,_xludf.XLOOKUP(T199,'Registrations'!$B$4:$B$211,'Registrations'!$E$4:$E$211,T199)),T199))</f>
        <v>0 vs 0</v>
      </c>
      <c r="I199" s="78"/>
      <c r="J199" s="78"/>
      <c r="K199" s="78">
        <f>IF(Schedules[[#This Row],[Player 2]]="",Schedules[[#This Row],[Player 1]],Schedules[[#This Row],[Player 1]]&amp;" / "&amp;Schedules[[#This Row],[Player 2]])</f>
        <v>0</v>
      </c>
      <c r="L199" s="78">
        <v>15</v>
      </c>
      <c r="M199" s="78" t="str">
        <f t="shared" si="33"/>
        <v>WIN</v>
      </c>
      <c r="N199" s="78"/>
      <c r="O199" s="78"/>
      <c r="P199" s="78">
        <f>IF(Schedules[[#This Row],[Player 4]]="",Schedules[[#This Row],[Player 3]],Schedules[[#This Row],[Player 3]]&amp;" / "&amp;Schedules[[#This Row],[Player 4]])</f>
        <v>0</v>
      </c>
      <c r="Q199" s="78">
        <v>10</v>
      </c>
      <c r="R199" s="78" t="str">
        <f t="shared" si="34"/>
        <v>LOST</v>
      </c>
      <c r="S199" s="61">
        <f>Input!C47</f>
        <v>0</v>
      </c>
      <c r="T199" s="61">
        <f>Input!D47</f>
        <v>0</v>
      </c>
    </row>
    <row r="200" spans="1:20" hidden="1" x14ac:dyDescent="0.3">
      <c r="A200" s="109" t="s">
        <v>56</v>
      </c>
      <c r="B200" s="78" t="str">
        <f t="shared" si="44"/>
        <v>Adda</v>
      </c>
      <c r="C200" s="79">
        <f>C199</f>
        <v>0.63888888888888873</v>
      </c>
      <c r="D200" s="79">
        <f>D199</f>
        <v>0.64791666666666647</v>
      </c>
      <c r="E200" s="78" t="str">
        <f t="shared" si="42"/>
        <v>Group</v>
      </c>
      <c r="F200" s="78">
        <f t="shared" si="43"/>
        <v>2</v>
      </c>
      <c r="G200" s="78">
        <f t="shared" si="43"/>
        <v>2</v>
      </c>
      <c r="H200" s="78" t="str">
        <f ca="1">IF(OR(S200="",T200=""),"",IFERROR(_xludf.XLOOKUP(S200,'Registrations'!#REF!,'Registrations'!#REF!,_xludf.XLOOKUP(S200,'Registrations'!$B$4:$B$211,'Registrations'!$E$4:$E$211,S200)),S200) &amp; " vs " &amp; IFERROR(_xludf.XLOOKUP(T200,'Registrations'!#REF!,'Registrations'!#REF!,_xludf.XLOOKUP(T200,'Registrations'!$B$4:$B$211,'Registrations'!$E$4:$E$211,T200)),T200))</f>
        <v>0 vs 0</v>
      </c>
      <c r="I200" s="78"/>
      <c r="J200" s="78"/>
      <c r="K200" s="78">
        <f>IF(Schedules[[#This Row],[Player 2]]="",Schedules[[#This Row],[Player 1]],Schedules[[#This Row],[Player 1]]&amp;" / "&amp;Schedules[[#This Row],[Player 2]])</f>
        <v>0</v>
      </c>
      <c r="L200" s="78">
        <v>15</v>
      </c>
      <c r="M200" s="78" t="str">
        <f t="shared" si="33"/>
        <v>WIN</v>
      </c>
      <c r="N200" s="78"/>
      <c r="O200" s="78"/>
      <c r="P200" s="78">
        <f>IF(Schedules[[#This Row],[Player 4]]="",Schedules[[#This Row],[Player 3]],Schedules[[#This Row],[Player 3]]&amp;" / "&amp;Schedules[[#This Row],[Player 4]])</f>
        <v>0</v>
      </c>
      <c r="Q200" s="78">
        <v>10</v>
      </c>
      <c r="R200" s="78" t="str">
        <f t="shared" si="34"/>
        <v>LOST</v>
      </c>
      <c r="S200" s="61">
        <f>Input!C48</f>
        <v>0</v>
      </c>
      <c r="T200" s="61">
        <f>Input!D48</f>
        <v>0</v>
      </c>
    </row>
    <row r="201" spans="1:20" hidden="1" x14ac:dyDescent="0.3">
      <c r="A201" s="110" t="s">
        <v>56</v>
      </c>
      <c r="B201" s="76" t="str">
        <f t="shared" si="44"/>
        <v>Adda</v>
      </c>
      <c r="C201" s="77">
        <f>D200+TIME(0,3,0)</f>
        <v>0.6499999999999998</v>
      </c>
      <c r="D201" s="77">
        <f>C201+TIME(0,13,0)</f>
        <v>0.65902777777777755</v>
      </c>
      <c r="E201" s="76" t="s">
        <v>432</v>
      </c>
      <c r="F201" s="76">
        <f>F199</f>
        <v>1</v>
      </c>
      <c r="G201" s="76" t="s">
        <v>422</v>
      </c>
      <c r="H201" s="76" t="str">
        <f ca="1">IF(OR(S201="",T201=""),"",IFERROR(_xludf.XLOOKUP(S201,'Registrations'!#REF!,'Registrations'!#REF!,_xludf.XLOOKUP(S201,'Registrations'!$B$4:$B$211,'Registrations'!$E$4:$E$211,S201)),S201) &amp; " vs " &amp; IFERROR(_xludf.XLOOKUP(T201,'Registrations'!#REF!,'Registrations'!#REF!,_xludf.XLOOKUP(T201,'Registrations'!$B$4:$B$211,'Registrations'!$E$4:$E$211,T201)),T201))</f>
        <v>0 vs 0</v>
      </c>
      <c r="I201" s="76"/>
      <c r="J201" s="76"/>
      <c r="K201" s="76">
        <f>IF(Schedules[[#This Row],[Player 2]]="",Schedules[[#This Row],[Player 1]],Schedules[[#This Row],[Player 1]]&amp;" / "&amp;Schedules[[#This Row],[Player 2]])</f>
        <v>0</v>
      </c>
      <c r="L201" s="76">
        <v>15</v>
      </c>
      <c r="M201" s="76" t="str">
        <f t="shared" si="33"/>
        <v>WIN</v>
      </c>
      <c r="N201" s="76"/>
      <c r="O201" s="76"/>
      <c r="P201" s="76">
        <f>IF(Schedules[[#This Row],[Player 4]]="",Schedules[[#This Row],[Player 3]],Schedules[[#This Row],[Player 3]]&amp;" / "&amp;Schedules[[#This Row],[Player 4]])</f>
        <v>0</v>
      </c>
      <c r="Q201" s="76">
        <v>10</v>
      </c>
      <c r="R201" s="76" t="str">
        <f t="shared" si="34"/>
        <v>LOST</v>
      </c>
      <c r="S201" s="61">
        <f>Input!H47</f>
        <v>0</v>
      </c>
      <c r="T201" s="61">
        <f>Input!I47</f>
        <v>0</v>
      </c>
    </row>
    <row r="202" spans="1:20" hidden="1" x14ac:dyDescent="0.3">
      <c r="A202" s="110" t="s">
        <v>56</v>
      </c>
      <c r="B202" s="76" t="str">
        <f t="shared" si="44"/>
        <v>Adda</v>
      </c>
      <c r="C202" s="77">
        <f>C201</f>
        <v>0.6499999999999998</v>
      </c>
      <c r="D202" s="77">
        <f>D201</f>
        <v>0.65902777777777755</v>
      </c>
      <c r="E202" s="76" t="str">
        <f>E201</f>
        <v>Pre-Q</v>
      </c>
      <c r="F202" s="76">
        <f>F200</f>
        <v>2</v>
      </c>
      <c r="G202" s="76" t="str">
        <f>G201</f>
        <v>1 vs 2</v>
      </c>
      <c r="H202" s="76" t="str">
        <f ca="1">IF(OR(S202="",T202=""),"",IFERROR(_xludf.XLOOKUP(S202,'Registrations'!#REF!,'Registrations'!#REF!,_xludf.XLOOKUP(S202,'Registrations'!$B$4:$B$211,'Registrations'!$E$4:$E$211,S202)),S202) &amp; " vs " &amp; IFERROR(_xludf.XLOOKUP(T202,'Registrations'!#REF!,'Registrations'!#REF!,_xludf.XLOOKUP(T202,'Registrations'!$B$4:$B$211,'Registrations'!$E$4:$E$211,T202)),T202))</f>
        <v>0 vs 0</v>
      </c>
      <c r="I202" s="76"/>
      <c r="J202" s="76"/>
      <c r="K202" s="76">
        <f>IF(Schedules[[#This Row],[Player 2]]="",Schedules[[#This Row],[Player 1]],Schedules[[#This Row],[Player 1]]&amp;" / "&amp;Schedules[[#This Row],[Player 2]])</f>
        <v>0</v>
      </c>
      <c r="L202" s="76">
        <v>15</v>
      </c>
      <c r="M202" s="76" t="str">
        <f t="shared" si="33"/>
        <v>WIN</v>
      </c>
      <c r="N202" s="76"/>
      <c r="O202" s="76"/>
      <c r="P202" s="76">
        <f>IF(Schedules[[#This Row],[Player 4]]="",Schedules[[#This Row],[Player 3]],Schedules[[#This Row],[Player 3]]&amp;" / "&amp;Schedules[[#This Row],[Player 4]])</f>
        <v>0</v>
      </c>
      <c r="Q202" s="76">
        <v>10</v>
      </c>
      <c r="R202" s="76" t="str">
        <f t="shared" si="34"/>
        <v>LOST</v>
      </c>
      <c r="S202" s="61">
        <f>Input!H48</f>
        <v>0</v>
      </c>
      <c r="T202" s="61">
        <f>Input!I48</f>
        <v>0</v>
      </c>
    </row>
    <row r="203" spans="1:20" hidden="1" x14ac:dyDescent="0.3">
      <c r="A203" s="109" t="s">
        <v>56</v>
      </c>
      <c r="B203" s="78" t="str">
        <f t="shared" si="44"/>
        <v>Adda</v>
      </c>
      <c r="C203" s="79">
        <f>D202+TIME(0,3,0)</f>
        <v>0.66111111111111087</v>
      </c>
      <c r="D203" s="79">
        <f>C203+TIME(0,13,0)</f>
        <v>0.67013888888888862</v>
      </c>
      <c r="E203" s="78" t="s">
        <v>433</v>
      </c>
      <c r="F203" s="78">
        <v>1</v>
      </c>
      <c r="G203" s="78">
        <v>3</v>
      </c>
      <c r="H203" s="78" t="str">
        <f ca="1">IF(OR(S203="",T203=""),"",IFERROR(_xludf.XLOOKUP(S203,'Registrations'!#REF!,'Registrations'!#REF!,_xludf.XLOOKUP(S203,'Registrations'!$B$4:$B$211,'Registrations'!$E$4:$E$211,S203)),S203) &amp; " vs " &amp; IFERROR(_xludf.XLOOKUP(T203,'Registrations'!#REF!,'Registrations'!#REF!,_xludf.XLOOKUP(T203,'Registrations'!$B$4:$B$211,'Registrations'!$E$4:$E$211,T203)),T203))</f>
        <v>0 vs 0</v>
      </c>
      <c r="I203" s="78"/>
      <c r="J203" s="78"/>
      <c r="K203" s="78">
        <f>IF(Schedules[[#This Row],[Player 2]]="",Schedules[[#This Row],[Player 1]],Schedules[[#This Row],[Player 1]]&amp;" / "&amp;Schedules[[#This Row],[Player 2]])</f>
        <v>0</v>
      </c>
      <c r="L203" s="78">
        <v>15</v>
      </c>
      <c r="M203" s="78" t="str">
        <f t="shared" si="33"/>
        <v>WIN</v>
      </c>
      <c r="N203" s="78"/>
      <c r="O203" s="78"/>
      <c r="P203" s="78">
        <f>IF(Schedules[[#This Row],[Player 4]]="",Schedules[[#This Row],[Player 3]],Schedules[[#This Row],[Player 3]]&amp;" / "&amp;Schedules[[#This Row],[Player 4]])</f>
        <v>0</v>
      </c>
      <c r="Q203" s="78">
        <v>10</v>
      </c>
      <c r="R203" s="78" t="str">
        <f t="shared" si="34"/>
        <v>LOST</v>
      </c>
      <c r="S203" s="61">
        <f>Input!B49</f>
        <v>0</v>
      </c>
      <c r="T203" s="61">
        <f>Input!C49</f>
        <v>0</v>
      </c>
    </row>
    <row r="204" spans="1:20" hidden="1" x14ac:dyDescent="0.3">
      <c r="A204" s="109" t="s">
        <v>56</v>
      </c>
      <c r="B204" s="78" t="str">
        <f t="shared" si="44"/>
        <v>Adda</v>
      </c>
      <c r="C204" s="79">
        <f>C203</f>
        <v>0.66111111111111087</v>
      </c>
      <c r="D204" s="79">
        <f>D203</f>
        <v>0.67013888888888862</v>
      </c>
      <c r="E204" s="78" t="str">
        <f>E203</f>
        <v>Group</v>
      </c>
      <c r="F204" s="78">
        <v>2</v>
      </c>
      <c r="G204" s="78">
        <v>4</v>
      </c>
      <c r="H204" s="78" t="str">
        <f ca="1">IF(OR(S204="",T204=""),"",IFERROR(_xludf.XLOOKUP(S204,'Registrations'!#REF!,'Registrations'!#REF!,_xludf.XLOOKUP(S204,'Registrations'!$B$4:$B$211,'Registrations'!$E$4:$E$211,S204)),S204) &amp; " vs " &amp; IFERROR(_xludf.XLOOKUP(T204,'Registrations'!#REF!,'Registrations'!#REF!,_xludf.XLOOKUP(T204,'Registrations'!$B$4:$B$211,'Registrations'!$E$4:$E$211,T204)),T204))</f>
        <v>0 vs 0</v>
      </c>
      <c r="I204" s="78"/>
      <c r="J204" s="78"/>
      <c r="K204" s="78">
        <f>IF(Schedules[[#This Row],[Player 2]]="",Schedules[[#This Row],[Player 1]],Schedules[[#This Row],[Player 1]]&amp;" / "&amp;Schedules[[#This Row],[Player 2]])</f>
        <v>0</v>
      </c>
      <c r="L204" s="78">
        <v>15</v>
      </c>
      <c r="M204" s="78" t="str">
        <f t="shared" ref="M204:M267" si="45">IF(L204=15,"WIN","LOST")</f>
        <v>WIN</v>
      </c>
      <c r="N204" s="78"/>
      <c r="O204" s="78"/>
      <c r="P204" s="78">
        <f>IF(Schedules[[#This Row],[Player 4]]="",Schedules[[#This Row],[Player 3]],Schedules[[#This Row],[Player 3]]&amp;" / "&amp;Schedules[[#This Row],[Player 4]])</f>
        <v>0</v>
      </c>
      <c r="Q204" s="78">
        <v>10</v>
      </c>
      <c r="R204" s="78" t="str">
        <f t="shared" ref="R204:R267" si="46">IF(Q204=15,"WIN","LOST")</f>
        <v>LOST</v>
      </c>
      <c r="S204" s="61">
        <f>Input!B50</f>
        <v>0</v>
      </c>
      <c r="T204" s="61">
        <f>Input!C50</f>
        <v>0</v>
      </c>
    </row>
    <row r="205" spans="1:20" hidden="1" x14ac:dyDescent="0.3">
      <c r="A205" s="109" t="s">
        <v>56</v>
      </c>
      <c r="B205" s="78" t="str">
        <f t="shared" si="44"/>
        <v>Adda</v>
      </c>
      <c r="C205" s="79">
        <f>D204+TIME(0,3,0)</f>
        <v>0.67222222222222194</v>
      </c>
      <c r="D205" s="79">
        <f>C205+TIME(0,13,0)</f>
        <v>0.68124999999999969</v>
      </c>
      <c r="E205" s="78" t="str">
        <f t="shared" ref="E205:E214" si="47">E204</f>
        <v>Group</v>
      </c>
      <c r="F205" s="78">
        <f t="shared" ref="F205:G214" si="48">F203</f>
        <v>1</v>
      </c>
      <c r="G205" s="78">
        <f t="shared" si="48"/>
        <v>3</v>
      </c>
      <c r="H205" s="78" t="str">
        <f ca="1">IF(OR(S205="",T205=""),"",IFERROR(_xludf.XLOOKUP(S205,'Registrations'!#REF!,'Registrations'!#REF!,_xludf.XLOOKUP(S205,'Registrations'!$B$4:$B$211,'Registrations'!$E$4:$E$211,S205)),S205) &amp; " vs " &amp; IFERROR(_xludf.XLOOKUP(T205,'Registrations'!#REF!,'Registrations'!#REF!,_xludf.XLOOKUP(T205,'Registrations'!$B$4:$B$211,'Registrations'!$E$4:$E$211,T205)),T205))</f>
        <v>0 vs 0</v>
      </c>
      <c r="I205" s="78"/>
      <c r="J205" s="78"/>
      <c r="K205" s="78">
        <f>IF(Schedules[[#This Row],[Player 2]]="",Schedules[[#This Row],[Player 1]],Schedules[[#This Row],[Player 1]]&amp;" / "&amp;Schedules[[#This Row],[Player 2]])</f>
        <v>0</v>
      </c>
      <c r="L205" s="78">
        <v>15</v>
      </c>
      <c r="M205" s="78" t="str">
        <f t="shared" si="45"/>
        <v>WIN</v>
      </c>
      <c r="N205" s="78"/>
      <c r="O205" s="78"/>
      <c r="P205" s="78">
        <f>IF(Schedules[[#This Row],[Player 4]]="",Schedules[[#This Row],[Player 3]],Schedules[[#This Row],[Player 3]]&amp;" / "&amp;Schedules[[#This Row],[Player 4]])</f>
        <v>0</v>
      </c>
      <c r="Q205" s="78">
        <v>10</v>
      </c>
      <c r="R205" s="78" t="str">
        <f t="shared" si="46"/>
        <v>LOST</v>
      </c>
      <c r="S205" s="61">
        <f>Input!D49</f>
        <v>0</v>
      </c>
      <c r="T205" s="61">
        <f>Input!E49</f>
        <v>0</v>
      </c>
    </row>
    <row r="206" spans="1:20" hidden="1" x14ac:dyDescent="0.3">
      <c r="A206" s="109" t="s">
        <v>56</v>
      </c>
      <c r="B206" s="78" t="str">
        <f t="shared" si="44"/>
        <v>Adda</v>
      </c>
      <c r="C206" s="79">
        <f>C205</f>
        <v>0.67222222222222194</v>
      </c>
      <c r="D206" s="79">
        <f>D205</f>
        <v>0.68124999999999969</v>
      </c>
      <c r="E206" s="78" t="str">
        <f t="shared" si="47"/>
        <v>Group</v>
      </c>
      <c r="F206" s="78">
        <f t="shared" si="48"/>
        <v>2</v>
      </c>
      <c r="G206" s="78">
        <f t="shared" si="48"/>
        <v>4</v>
      </c>
      <c r="H206" s="78" t="str">
        <f ca="1">IF(OR(S206="",T206=""),"",IFERROR(_xludf.XLOOKUP(S206,'Registrations'!#REF!,'Registrations'!#REF!,_xludf.XLOOKUP(S206,'Registrations'!$B$4:$B$211,'Registrations'!$E$4:$E$211,S206)),S206) &amp; " vs " &amp; IFERROR(_xludf.XLOOKUP(T206,'Registrations'!#REF!,'Registrations'!#REF!,_xludf.XLOOKUP(T206,'Registrations'!$B$4:$B$211,'Registrations'!$E$4:$E$211,T206)),T206))</f>
        <v>0 vs 0</v>
      </c>
      <c r="I206" s="78"/>
      <c r="J206" s="78"/>
      <c r="K206" s="78">
        <f>IF(Schedules[[#This Row],[Player 2]]="",Schedules[[#This Row],[Player 1]],Schedules[[#This Row],[Player 1]]&amp;" / "&amp;Schedules[[#This Row],[Player 2]])</f>
        <v>0</v>
      </c>
      <c r="L206" s="78">
        <v>15</v>
      </c>
      <c r="M206" s="78" t="str">
        <f t="shared" si="45"/>
        <v>WIN</v>
      </c>
      <c r="N206" s="78"/>
      <c r="O206" s="78"/>
      <c r="P206" s="78">
        <f>IF(Schedules[[#This Row],[Player 4]]="",Schedules[[#This Row],[Player 3]],Schedules[[#This Row],[Player 3]]&amp;" / "&amp;Schedules[[#This Row],[Player 4]])</f>
        <v>0</v>
      </c>
      <c r="Q206" s="78">
        <v>10</v>
      </c>
      <c r="R206" s="78" t="str">
        <f t="shared" si="46"/>
        <v>LOST</v>
      </c>
      <c r="S206" s="61">
        <f>Input!D50</f>
        <v>0</v>
      </c>
      <c r="T206" s="61">
        <f>Input!E50</f>
        <v>0</v>
      </c>
    </row>
    <row r="207" spans="1:20" hidden="1" x14ac:dyDescent="0.3">
      <c r="A207" s="109" t="s">
        <v>56</v>
      </c>
      <c r="B207" s="78" t="str">
        <f t="shared" si="44"/>
        <v>Adda</v>
      </c>
      <c r="C207" s="79">
        <f>D206+TIME(0,3,0)</f>
        <v>0.68333333333333302</v>
      </c>
      <c r="D207" s="79">
        <f>C207+TIME(0,13,0)</f>
        <v>0.69236111111111076</v>
      </c>
      <c r="E207" s="78" t="str">
        <f t="shared" si="47"/>
        <v>Group</v>
      </c>
      <c r="F207" s="78">
        <f t="shared" si="48"/>
        <v>1</v>
      </c>
      <c r="G207" s="78">
        <f t="shared" si="48"/>
        <v>3</v>
      </c>
      <c r="H207" s="78" t="str">
        <f ca="1">IF(OR(S207="",T207=""),"",IFERROR(_xludf.XLOOKUP(S207,'Registrations'!#REF!,'Registrations'!#REF!,_xludf.XLOOKUP(S207,'Registrations'!$B$4:$B$211,'Registrations'!$E$4:$E$211,S207)),S207) &amp; " vs " &amp; IFERROR(_xludf.XLOOKUP(T207,'Registrations'!#REF!,'Registrations'!#REF!,_xludf.XLOOKUP(T207,'Registrations'!$B$4:$B$211,'Registrations'!$E$4:$E$211,T207)),T207))</f>
        <v>0 vs 0</v>
      </c>
      <c r="I207" s="78"/>
      <c r="J207" s="78"/>
      <c r="K207" s="78">
        <f>IF(Schedules[[#This Row],[Player 2]]="",Schedules[[#This Row],[Player 1]],Schedules[[#This Row],[Player 1]]&amp;" / "&amp;Schedules[[#This Row],[Player 2]])</f>
        <v>0</v>
      </c>
      <c r="L207" s="78">
        <v>15</v>
      </c>
      <c r="M207" s="78" t="str">
        <f t="shared" si="45"/>
        <v>WIN</v>
      </c>
      <c r="N207" s="78"/>
      <c r="O207" s="78"/>
      <c r="P207" s="78">
        <f>IF(Schedules[[#This Row],[Player 4]]="",Schedules[[#This Row],[Player 3]],Schedules[[#This Row],[Player 3]]&amp;" / "&amp;Schedules[[#This Row],[Player 4]])</f>
        <v>0</v>
      </c>
      <c r="Q207" s="78">
        <v>10</v>
      </c>
      <c r="R207" s="78" t="str">
        <f t="shared" si="46"/>
        <v>LOST</v>
      </c>
      <c r="S207" s="61">
        <f>Input!B49</f>
        <v>0</v>
      </c>
      <c r="T207" s="61">
        <f>Input!D49</f>
        <v>0</v>
      </c>
    </row>
    <row r="208" spans="1:20" hidden="1" x14ac:dyDescent="0.3">
      <c r="A208" s="109" t="s">
        <v>56</v>
      </c>
      <c r="B208" s="78" t="str">
        <f t="shared" si="44"/>
        <v>Adda</v>
      </c>
      <c r="C208" s="79">
        <f>C207</f>
        <v>0.68333333333333302</v>
      </c>
      <c r="D208" s="79">
        <f>D207</f>
        <v>0.69236111111111076</v>
      </c>
      <c r="E208" s="78" t="str">
        <f t="shared" si="47"/>
        <v>Group</v>
      </c>
      <c r="F208" s="78">
        <f t="shared" si="48"/>
        <v>2</v>
      </c>
      <c r="G208" s="78">
        <f t="shared" si="48"/>
        <v>4</v>
      </c>
      <c r="H208" s="78" t="str">
        <f ca="1">IF(OR(S208="",T208=""),"",IFERROR(_xludf.XLOOKUP(S208,'Registrations'!#REF!,'Registrations'!#REF!,_xludf.XLOOKUP(S208,'Registrations'!$B$4:$B$211,'Registrations'!$E$4:$E$211,S208)),S208) &amp; " vs " &amp; IFERROR(_xludf.XLOOKUP(T208,'Registrations'!#REF!,'Registrations'!#REF!,_xludf.XLOOKUP(T208,'Registrations'!$B$4:$B$211,'Registrations'!$E$4:$E$211,T208)),T208))</f>
        <v>0 vs 0</v>
      </c>
      <c r="I208" s="78"/>
      <c r="J208" s="78"/>
      <c r="K208" s="78">
        <f>IF(Schedules[[#This Row],[Player 2]]="",Schedules[[#This Row],[Player 1]],Schedules[[#This Row],[Player 1]]&amp;" / "&amp;Schedules[[#This Row],[Player 2]])</f>
        <v>0</v>
      </c>
      <c r="L208" s="78">
        <v>15</v>
      </c>
      <c r="M208" s="78" t="str">
        <f t="shared" si="45"/>
        <v>WIN</v>
      </c>
      <c r="N208" s="78"/>
      <c r="O208" s="78"/>
      <c r="P208" s="78">
        <f>IF(Schedules[[#This Row],[Player 4]]="",Schedules[[#This Row],[Player 3]],Schedules[[#This Row],[Player 3]]&amp;" / "&amp;Schedules[[#This Row],[Player 4]])</f>
        <v>0</v>
      </c>
      <c r="Q208" s="78">
        <v>10</v>
      </c>
      <c r="R208" s="78" t="str">
        <f t="shared" si="46"/>
        <v>LOST</v>
      </c>
      <c r="S208" s="61">
        <f>Input!B50</f>
        <v>0</v>
      </c>
      <c r="T208" s="61">
        <f>Input!D50</f>
        <v>0</v>
      </c>
    </row>
    <row r="209" spans="1:20" hidden="1" x14ac:dyDescent="0.3">
      <c r="A209" s="109" t="s">
        <v>56</v>
      </c>
      <c r="B209" s="78" t="str">
        <f t="shared" si="44"/>
        <v>Adda</v>
      </c>
      <c r="C209" s="79">
        <f>D208+TIME(0,3,0)</f>
        <v>0.69444444444444409</v>
      </c>
      <c r="D209" s="79">
        <f>C209+TIME(0,13,0)</f>
        <v>0.70347222222222183</v>
      </c>
      <c r="E209" s="78" t="str">
        <f t="shared" si="47"/>
        <v>Group</v>
      </c>
      <c r="F209" s="78">
        <f t="shared" si="48"/>
        <v>1</v>
      </c>
      <c r="G209" s="78">
        <f t="shared" si="48"/>
        <v>3</v>
      </c>
      <c r="H209" s="78" t="str">
        <f ca="1">IF(OR(S209="",T209=""),"",IFERROR(_xludf.XLOOKUP(S209,'Registrations'!#REF!,'Registrations'!#REF!,_xludf.XLOOKUP(S209,'Registrations'!$B$4:$B$211,'Registrations'!$E$4:$E$211,S209)),S209) &amp; " vs " &amp; IFERROR(_xludf.XLOOKUP(T209,'Registrations'!#REF!,'Registrations'!#REF!,_xludf.XLOOKUP(T209,'Registrations'!$B$4:$B$211,'Registrations'!$E$4:$E$211,T209)),T209))</f>
        <v>0 vs 0</v>
      </c>
      <c r="I209" s="78"/>
      <c r="J209" s="78"/>
      <c r="K209" s="78">
        <f>IF(Schedules[[#This Row],[Player 2]]="",Schedules[[#This Row],[Player 1]],Schedules[[#This Row],[Player 1]]&amp;" / "&amp;Schedules[[#This Row],[Player 2]])</f>
        <v>0</v>
      </c>
      <c r="L209" s="78">
        <v>15</v>
      </c>
      <c r="M209" s="78" t="str">
        <f t="shared" si="45"/>
        <v>WIN</v>
      </c>
      <c r="N209" s="78"/>
      <c r="O209" s="78"/>
      <c r="P209" s="78">
        <f>IF(Schedules[[#This Row],[Player 4]]="",Schedules[[#This Row],[Player 3]],Schedules[[#This Row],[Player 3]]&amp;" / "&amp;Schedules[[#This Row],[Player 4]])</f>
        <v>0</v>
      </c>
      <c r="Q209" s="78">
        <v>10</v>
      </c>
      <c r="R209" s="78" t="str">
        <f t="shared" si="46"/>
        <v>LOST</v>
      </c>
      <c r="S209" s="61">
        <f>Input!C49</f>
        <v>0</v>
      </c>
      <c r="T209" s="61">
        <f>Input!E49</f>
        <v>0</v>
      </c>
    </row>
    <row r="210" spans="1:20" hidden="1" x14ac:dyDescent="0.3">
      <c r="A210" s="109" t="s">
        <v>56</v>
      </c>
      <c r="B210" s="78" t="str">
        <f t="shared" si="44"/>
        <v>Adda</v>
      </c>
      <c r="C210" s="79">
        <f>C209</f>
        <v>0.69444444444444409</v>
      </c>
      <c r="D210" s="79">
        <f>D209</f>
        <v>0.70347222222222183</v>
      </c>
      <c r="E210" s="78" t="str">
        <f t="shared" si="47"/>
        <v>Group</v>
      </c>
      <c r="F210" s="78">
        <f t="shared" si="48"/>
        <v>2</v>
      </c>
      <c r="G210" s="78">
        <f t="shared" si="48"/>
        <v>4</v>
      </c>
      <c r="H210" s="78" t="str">
        <f ca="1">IF(OR(S210="",T210=""),"",IFERROR(_xludf.XLOOKUP(S210,'Registrations'!#REF!,'Registrations'!#REF!,_xludf.XLOOKUP(S210,'Registrations'!$B$4:$B$211,'Registrations'!$E$4:$E$211,S210)),S210) &amp; " vs " &amp; IFERROR(_xludf.XLOOKUP(T210,'Registrations'!#REF!,'Registrations'!#REF!,_xludf.XLOOKUP(T210,'Registrations'!$B$4:$B$211,'Registrations'!$E$4:$E$211,T210)),T210))</f>
        <v>0 vs 0</v>
      </c>
      <c r="I210" s="78"/>
      <c r="J210" s="78"/>
      <c r="K210" s="78">
        <f>IF(Schedules[[#This Row],[Player 2]]="",Schedules[[#This Row],[Player 1]],Schedules[[#This Row],[Player 1]]&amp;" / "&amp;Schedules[[#This Row],[Player 2]])</f>
        <v>0</v>
      </c>
      <c r="L210" s="78">
        <v>15</v>
      </c>
      <c r="M210" s="78" t="str">
        <f t="shared" si="45"/>
        <v>WIN</v>
      </c>
      <c r="N210" s="78"/>
      <c r="O210" s="78"/>
      <c r="P210" s="78">
        <f>IF(Schedules[[#This Row],[Player 4]]="",Schedules[[#This Row],[Player 3]],Schedules[[#This Row],[Player 3]]&amp;" / "&amp;Schedules[[#This Row],[Player 4]])</f>
        <v>0</v>
      </c>
      <c r="Q210" s="78">
        <v>10</v>
      </c>
      <c r="R210" s="78" t="str">
        <f t="shared" si="46"/>
        <v>LOST</v>
      </c>
      <c r="S210" s="61">
        <f>Input!C50</f>
        <v>0</v>
      </c>
      <c r="T210" s="61">
        <f>Input!E50</f>
        <v>0</v>
      </c>
    </row>
    <row r="211" spans="1:20" hidden="1" x14ac:dyDescent="0.3">
      <c r="A211" s="109" t="s">
        <v>56</v>
      </c>
      <c r="B211" s="78" t="str">
        <f t="shared" si="44"/>
        <v>Adda</v>
      </c>
      <c r="C211" s="79">
        <f>D210+TIME(0,3,0)</f>
        <v>0.70555555555555516</v>
      </c>
      <c r="D211" s="79">
        <f>C211+TIME(0,13,0)</f>
        <v>0.7145833333333329</v>
      </c>
      <c r="E211" s="78" t="str">
        <f t="shared" si="47"/>
        <v>Group</v>
      </c>
      <c r="F211" s="78">
        <f t="shared" si="48"/>
        <v>1</v>
      </c>
      <c r="G211" s="78">
        <f t="shared" si="48"/>
        <v>3</v>
      </c>
      <c r="H211" s="78" t="str">
        <f ca="1">IF(OR(S211="",T211=""),"",IFERROR(_xludf.XLOOKUP(S211,'Registrations'!#REF!,'Registrations'!#REF!,_xludf.XLOOKUP(S211,'Registrations'!$B$4:$B$211,'Registrations'!$E$4:$E$211,S211)),S211) &amp; " vs " &amp; IFERROR(_xludf.XLOOKUP(T211,'Registrations'!#REF!,'Registrations'!#REF!,_xludf.XLOOKUP(T211,'Registrations'!$B$4:$B$211,'Registrations'!$E$4:$E$211,T211)),T211))</f>
        <v>0 vs 0</v>
      </c>
      <c r="I211" s="78"/>
      <c r="J211" s="78"/>
      <c r="K211" s="78">
        <f>IF(Schedules[[#This Row],[Player 2]]="",Schedules[[#This Row],[Player 1]],Schedules[[#This Row],[Player 1]]&amp;" / "&amp;Schedules[[#This Row],[Player 2]])</f>
        <v>0</v>
      </c>
      <c r="L211" s="78">
        <v>15</v>
      </c>
      <c r="M211" s="78" t="str">
        <f t="shared" si="45"/>
        <v>WIN</v>
      </c>
      <c r="N211" s="78"/>
      <c r="O211" s="78"/>
      <c r="P211" s="78">
        <f>IF(Schedules[[#This Row],[Player 4]]="",Schedules[[#This Row],[Player 3]],Schedules[[#This Row],[Player 3]]&amp;" / "&amp;Schedules[[#This Row],[Player 4]])</f>
        <v>0</v>
      </c>
      <c r="Q211" s="78">
        <v>10</v>
      </c>
      <c r="R211" s="78" t="str">
        <f t="shared" si="46"/>
        <v>LOST</v>
      </c>
      <c r="S211" s="61">
        <f>Input!B49</f>
        <v>0</v>
      </c>
      <c r="T211" s="61">
        <f>Input!E49</f>
        <v>0</v>
      </c>
    </row>
    <row r="212" spans="1:20" hidden="1" x14ac:dyDescent="0.3">
      <c r="A212" s="109" t="s">
        <v>56</v>
      </c>
      <c r="B212" s="78" t="str">
        <f t="shared" si="44"/>
        <v>Adda</v>
      </c>
      <c r="C212" s="79">
        <f>C211</f>
        <v>0.70555555555555516</v>
      </c>
      <c r="D212" s="79">
        <f>D211</f>
        <v>0.7145833333333329</v>
      </c>
      <c r="E212" s="78" t="str">
        <f t="shared" si="47"/>
        <v>Group</v>
      </c>
      <c r="F212" s="78">
        <f t="shared" si="48"/>
        <v>2</v>
      </c>
      <c r="G212" s="78">
        <f t="shared" si="48"/>
        <v>4</v>
      </c>
      <c r="H212" s="78" t="str">
        <f ca="1">IF(OR(S212="",T212=""),"",IFERROR(_xludf.XLOOKUP(S212,'Registrations'!#REF!,'Registrations'!#REF!,_xludf.XLOOKUP(S212,'Registrations'!$B$4:$B$211,'Registrations'!$E$4:$E$211,S212)),S212) &amp; " vs " &amp; IFERROR(_xludf.XLOOKUP(T212,'Registrations'!#REF!,'Registrations'!#REF!,_xludf.XLOOKUP(T212,'Registrations'!$B$4:$B$211,'Registrations'!$E$4:$E$211,T212)),T212))</f>
        <v>0 vs 0</v>
      </c>
      <c r="I212" s="78"/>
      <c r="J212" s="78"/>
      <c r="K212" s="78">
        <f>IF(Schedules[[#This Row],[Player 2]]="",Schedules[[#This Row],[Player 1]],Schedules[[#This Row],[Player 1]]&amp;" / "&amp;Schedules[[#This Row],[Player 2]])</f>
        <v>0</v>
      </c>
      <c r="L212" s="78">
        <v>15</v>
      </c>
      <c r="M212" s="78" t="str">
        <f t="shared" si="45"/>
        <v>WIN</v>
      </c>
      <c r="N212" s="78"/>
      <c r="O212" s="78"/>
      <c r="P212" s="78">
        <f>IF(Schedules[[#This Row],[Player 4]]="",Schedules[[#This Row],[Player 3]],Schedules[[#This Row],[Player 3]]&amp;" / "&amp;Schedules[[#This Row],[Player 4]])</f>
        <v>0</v>
      </c>
      <c r="Q212" s="78">
        <v>10</v>
      </c>
      <c r="R212" s="78" t="str">
        <f t="shared" si="46"/>
        <v>LOST</v>
      </c>
      <c r="S212" s="61">
        <f>Input!B50</f>
        <v>0</v>
      </c>
      <c r="T212" s="61">
        <f>Input!E50</f>
        <v>0</v>
      </c>
    </row>
    <row r="213" spans="1:20" hidden="1" x14ac:dyDescent="0.3">
      <c r="A213" s="109" t="s">
        <v>56</v>
      </c>
      <c r="B213" s="78" t="str">
        <f t="shared" si="44"/>
        <v>Adda</v>
      </c>
      <c r="C213" s="79">
        <f>D212+TIME(0,3,0)</f>
        <v>0.71666666666666623</v>
      </c>
      <c r="D213" s="79">
        <f>C213+TIME(0,13,0)</f>
        <v>0.72569444444444398</v>
      </c>
      <c r="E213" s="78" t="str">
        <f t="shared" si="47"/>
        <v>Group</v>
      </c>
      <c r="F213" s="78">
        <f t="shared" si="48"/>
        <v>1</v>
      </c>
      <c r="G213" s="78">
        <f t="shared" si="48"/>
        <v>3</v>
      </c>
      <c r="H213" s="78" t="str">
        <f ca="1">IF(OR(S213="",T213=""),"",IFERROR(_xludf.XLOOKUP(S213,'Registrations'!#REF!,'Registrations'!#REF!,_xludf.XLOOKUP(S213,'Registrations'!$B$4:$B$211,'Registrations'!$E$4:$E$211,S213)),S213) &amp; " vs " &amp; IFERROR(_xludf.XLOOKUP(T213,'Registrations'!#REF!,'Registrations'!#REF!,_xludf.XLOOKUP(T213,'Registrations'!$B$4:$B$211,'Registrations'!$E$4:$E$211,T213)),T213))</f>
        <v>0 vs 0</v>
      </c>
      <c r="I213" s="78"/>
      <c r="J213" s="78"/>
      <c r="K213" s="78">
        <f>IF(Schedules[[#This Row],[Player 2]]="",Schedules[[#This Row],[Player 1]],Schedules[[#This Row],[Player 1]]&amp;" / "&amp;Schedules[[#This Row],[Player 2]])</f>
        <v>0</v>
      </c>
      <c r="L213" s="78">
        <v>15</v>
      </c>
      <c r="M213" s="78" t="str">
        <f t="shared" si="45"/>
        <v>WIN</v>
      </c>
      <c r="N213" s="78"/>
      <c r="O213" s="78"/>
      <c r="P213" s="78">
        <f>IF(Schedules[[#This Row],[Player 4]]="",Schedules[[#This Row],[Player 3]],Schedules[[#This Row],[Player 3]]&amp;" / "&amp;Schedules[[#This Row],[Player 4]])</f>
        <v>0</v>
      </c>
      <c r="Q213" s="78">
        <v>10</v>
      </c>
      <c r="R213" s="78" t="str">
        <f t="shared" si="46"/>
        <v>LOST</v>
      </c>
      <c r="S213" s="61">
        <f>Input!C49</f>
        <v>0</v>
      </c>
      <c r="T213" s="61">
        <f>Input!D49</f>
        <v>0</v>
      </c>
    </row>
    <row r="214" spans="1:20" hidden="1" x14ac:dyDescent="0.3">
      <c r="A214" s="109" t="s">
        <v>56</v>
      </c>
      <c r="B214" s="78" t="str">
        <f t="shared" si="44"/>
        <v>Adda</v>
      </c>
      <c r="C214" s="79">
        <f>C213</f>
        <v>0.71666666666666623</v>
      </c>
      <c r="D214" s="79">
        <f>D213</f>
        <v>0.72569444444444398</v>
      </c>
      <c r="E214" s="78" t="str">
        <f t="shared" si="47"/>
        <v>Group</v>
      </c>
      <c r="F214" s="78">
        <f t="shared" si="48"/>
        <v>2</v>
      </c>
      <c r="G214" s="78">
        <f t="shared" si="48"/>
        <v>4</v>
      </c>
      <c r="H214" s="78" t="str">
        <f ca="1">IF(OR(S214="",T214=""),"",IFERROR(_xludf.XLOOKUP(S214,'Registrations'!#REF!,'Registrations'!#REF!,_xludf.XLOOKUP(S214,'Registrations'!$B$4:$B$211,'Registrations'!$E$4:$E$211,S214)),S214) &amp; " vs " &amp; IFERROR(_xludf.XLOOKUP(T214,'Registrations'!#REF!,'Registrations'!#REF!,_xludf.XLOOKUP(T214,'Registrations'!$B$4:$B$211,'Registrations'!$E$4:$E$211,T214)),T214))</f>
        <v>0 vs 0</v>
      </c>
      <c r="I214" s="78"/>
      <c r="J214" s="78"/>
      <c r="K214" s="78">
        <f>IF(Schedules[[#This Row],[Player 2]]="",Schedules[[#This Row],[Player 1]],Schedules[[#This Row],[Player 1]]&amp;" / "&amp;Schedules[[#This Row],[Player 2]])</f>
        <v>0</v>
      </c>
      <c r="L214" s="78">
        <v>15</v>
      </c>
      <c r="M214" s="78" t="str">
        <f t="shared" si="45"/>
        <v>WIN</v>
      </c>
      <c r="N214" s="78"/>
      <c r="O214" s="78"/>
      <c r="P214" s="78">
        <f>IF(Schedules[[#This Row],[Player 4]]="",Schedules[[#This Row],[Player 3]],Schedules[[#This Row],[Player 3]]&amp;" / "&amp;Schedules[[#This Row],[Player 4]])</f>
        <v>0</v>
      </c>
      <c r="Q214" s="78">
        <v>10</v>
      </c>
      <c r="R214" s="78" t="str">
        <f t="shared" si="46"/>
        <v>LOST</v>
      </c>
      <c r="S214" s="61">
        <f>Input!C50</f>
        <v>0</v>
      </c>
      <c r="T214" s="61">
        <f>Input!D50</f>
        <v>0</v>
      </c>
    </row>
    <row r="215" spans="1:20" hidden="1" x14ac:dyDescent="0.3">
      <c r="A215" s="110" t="s">
        <v>56</v>
      </c>
      <c r="B215" s="76" t="str">
        <f t="shared" si="44"/>
        <v>Adda</v>
      </c>
      <c r="C215" s="77">
        <f>D214+TIME(0,3,0)</f>
        <v>0.7277777777777773</v>
      </c>
      <c r="D215" s="77">
        <f>C215+TIME(0,13,0)</f>
        <v>0.73680555555555505</v>
      </c>
      <c r="E215" s="76" t="s">
        <v>432</v>
      </c>
      <c r="F215" s="76">
        <f>F213</f>
        <v>1</v>
      </c>
      <c r="G215" s="76" t="s">
        <v>430</v>
      </c>
      <c r="H215" s="76" t="str">
        <f ca="1">IF(OR(S215="",T215=""),"",IFERROR(_xludf.XLOOKUP(S215,'Registrations'!#REF!,'Registrations'!#REF!,_xludf.XLOOKUP(S215,'Registrations'!$B$4:$B$211,'Registrations'!$E$4:$E$211,S215)),S215) &amp; " vs " &amp; IFERROR(_xludf.XLOOKUP(T215,'Registrations'!#REF!,'Registrations'!#REF!,_xludf.XLOOKUP(T215,'Registrations'!$B$4:$B$211,'Registrations'!$E$4:$E$211,T215)),T215))</f>
        <v>0 vs 0</v>
      </c>
      <c r="I215" s="76"/>
      <c r="J215" s="76"/>
      <c r="K215" s="76">
        <f>IF(Schedules[[#This Row],[Player 2]]="",Schedules[[#This Row],[Player 1]],Schedules[[#This Row],[Player 1]]&amp;" / "&amp;Schedules[[#This Row],[Player 2]])</f>
        <v>0</v>
      </c>
      <c r="L215" s="76">
        <v>15</v>
      </c>
      <c r="M215" s="76" t="str">
        <f t="shared" si="45"/>
        <v>WIN</v>
      </c>
      <c r="N215" s="76"/>
      <c r="O215" s="76"/>
      <c r="P215" s="76">
        <f>IF(Schedules[[#This Row],[Player 4]]="",Schedules[[#This Row],[Player 3]],Schedules[[#This Row],[Player 3]]&amp;" / "&amp;Schedules[[#This Row],[Player 4]])</f>
        <v>0</v>
      </c>
      <c r="Q215" s="76">
        <v>10</v>
      </c>
      <c r="R215" s="76" t="str">
        <f t="shared" si="46"/>
        <v>LOST</v>
      </c>
      <c r="S215" s="61">
        <f>Input!H49</f>
        <v>0</v>
      </c>
      <c r="T215" s="61">
        <f>Input!I49</f>
        <v>0</v>
      </c>
    </row>
    <row r="216" spans="1:20" hidden="1" x14ac:dyDescent="0.3">
      <c r="A216" s="110" t="s">
        <v>56</v>
      </c>
      <c r="B216" s="76" t="str">
        <f t="shared" si="44"/>
        <v>Adda</v>
      </c>
      <c r="C216" s="77">
        <f>C215</f>
        <v>0.7277777777777773</v>
      </c>
      <c r="D216" s="77">
        <f>D215</f>
        <v>0.73680555555555505</v>
      </c>
      <c r="E216" s="76" t="str">
        <f>E215</f>
        <v>Pre-Q</v>
      </c>
      <c r="F216" s="76">
        <f>F214</f>
        <v>2</v>
      </c>
      <c r="G216" s="76" t="str">
        <f>G215</f>
        <v>3 vs 4</v>
      </c>
      <c r="H216" s="76" t="str">
        <f ca="1">IF(OR(S216="",T216=""),"",IFERROR(_xludf.XLOOKUP(S216,'Registrations'!#REF!,'Registrations'!#REF!,_xludf.XLOOKUP(S216,'Registrations'!$B$4:$B$211,'Registrations'!$E$4:$E$211,S216)),S216) &amp; " vs " &amp; IFERROR(_xludf.XLOOKUP(T216,'Registrations'!#REF!,'Registrations'!#REF!,_xludf.XLOOKUP(T216,'Registrations'!$B$4:$B$211,'Registrations'!$E$4:$E$211,T216)),T216))</f>
        <v>0 vs 0</v>
      </c>
      <c r="I216" s="76"/>
      <c r="J216" s="76"/>
      <c r="K216" s="76">
        <f>IF(Schedules[[#This Row],[Player 2]]="",Schedules[[#This Row],[Player 1]],Schedules[[#This Row],[Player 1]]&amp;" / "&amp;Schedules[[#This Row],[Player 2]])</f>
        <v>0</v>
      </c>
      <c r="L216" s="76">
        <v>15</v>
      </c>
      <c r="M216" s="76" t="str">
        <f t="shared" si="45"/>
        <v>WIN</v>
      </c>
      <c r="N216" s="76"/>
      <c r="O216" s="76"/>
      <c r="P216" s="76">
        <f>IF(Schedules[[#This Row],[Player 4]]="",Schedules[[#This Row],[Player 3]],Schedules[[#This Row],[Player 3]]&amp;" / "&amp;Schedules[[#This Row],[Player 4]])</f>
        <v>0</v>
      </c>
      <c r="Q216" s="76">
        <v>10</v>
      </c>
      <c r="R216" s="76" t="str">
        <f t="shared" si="46"/>
        <v>LOST</v>
      </c>
      <c r="S216" s="61">
        <f>Input!H50</f>
        <v>0</v>
      </c>
      <c r="T216" s="61">
        <f>Input!I50</f>
        <v>0</v>
      </c>
    </row>
    <row r="217" spans="1:20" hidden="1" x14ac:dyDescent="0.3">
      <c r="A217" s="109" t="s">
        <v>56</v>
      </c>
      <c r="B217" s="78" t="str">
        <f t="shared" si="44"/>
        <v>Adda</v>
      </c>
      <c r="C217" s="79">
        <f>D216+TIME(0,3,0)</f>
        <v>0.73888888888888837</v>
      </c>
      <c r="D217" s="79">
        <f>C217+TIME(0,13,0)</f>
        <v>0.74791666666666612</v>
      </c>
      <c r="E217" s="78" t="s">
        <v>433</v>
      </c>
      <c r="F217" s="78">
        <v>1</v>
      </c>
      <c r="G217" s="78">
        <v>5</v>
      </c>
      <c r="H217" s="78" t="str">
        <f ca="1">IF(OR(S217="",T217=""),"",IFERROR(_xludf.XLOOKUP(S217,'Registrations'!#REF!,'Registrations'!#REF!,_xludf.XLOOKUP(S217,'Registrations'!$B$4:$B$211,'Registrations'!$E$4:$E$211,S217)),S217) &amp; " vs " &amp; IFERROR(_xludf.XLOOKUP(T217,'Registrations'!#REF!,'Registrations'!#REF!,_xludf.XLOOKUP(T217,'Registrations'!$B$4:$B$211,'Registrations'!$E$4:$E$211,T217)),T217))</f>
        <v>0 vs 0</v>
      </c>
      <c r="I217" s="78"/>
      <c r="J217" s="78"/>
      <c r="K217" s="78">
        <f>IF(Schedules[[#This Row],[Player 2]]="",Schedules[[#This Row],[Player 1]],Schedules[[#This Row],[Player 1]]&amp;" / "&amp;Schedules[[#This Row],[Player 2]])</f>
        <v>0</v>
      </c>
      <c r="L217" s="78">
        <v>15</v>
      </c>
      <c r="M217" s="78" t="str">
        <f t="shared" si="45"/>
        <v>WIN</v>
      </c>
      <c r="N217" s="78"/>
      <c r="O217" s="78"/>
      <c r="P217" s="78">
        <f>IF(Schedules[[#This Row],[Player 4]]="",Schedules[[#This Row],[Player 3]],Schedules[[#This Row],[Player 3]]&amp;" / "&amp;Schedules[[#This Row],[Player 4]])</f>
        <v>0</v>
      </c>
      <c r="Q217" s="78">
        <v>10</v>
      </c>
      <c r="R217" s="78" t="str">
        <f t="shared" si="46"/>
        <v>LOST</v>
      </c>
      <c r="S217" s="61">
        <f>Input!B51</f>
        <v>0</v>
      </c>
      <c r="T217" s="61">
        <f>Input!C51</f>
        <v>0</v>
      </c>
    </row>
    <row r="218" spans="1:20" hidden="1" x14ac:dyDescent="0.3">
      <c r="A218" s="109" t="s">
        <v>56</v>
      </c>
      <c r="B218" s="78" t="str">
        <f t="shared" si="44"/>
        <v>Adda</v>
      </c>
      <c r="C218" s="79">
        <f>C217</f>
        <v>0.73888888888888837</v>
      </c>
      <c r="D218" s="79">
        <f>D217</f>
        <v>0.74791666666666612</v>
      </c>
      <c r="E218" s="78" t="str">
        <f>E217</f>
        <v>Group</v>
      </c>
      <c r="F218" s="78">
        <v>2</v>
      </c>
      <c r="G218" s="78">
        <v>6</v>
      </c>
      <c r="H218" s="78" t="str">
        <f ca="1">IF(OR(S218="",T218=""),"",IFERROR(_xludf.XLOOKUP(S218,'Registrations'!#REF!,'Registrations'!#REF!,_xludf.XLOOKUP(S218,'Registrations'!$B$4:$B$211,'Registrations'!$E$4:$E$211,S218)),S218) &amp; " vs " &amp; IFERROR(_xludf.XLOOKUP(T218,'Registrations'!#REF!,'Registrations'!#REF!,_xludf.XLOOKUP(T218,'Registrations'!$B$4:$B$211,'Registrations'!$E$4:$E$211,T218)),T218))</f>
        <v>0 vs 0</v>
      </c>
      <c r="I218" s="78"/>
      <c r="J218" s="78"/>
      <c r="K218" s="78">
        <f>IF(Schedules[[#This Row],[Player 2]]="",Schedules[[#This Row],[Player 1]],Schedules[[#This Row],[Player 1]]&amp;" / "&amp;Schedules[[#This Row],[Player 2]])</f>
        <v>0</v>
      </c>
      <c r="L218" s="78">
        <v>15</v>
      </c>
      <c r="M218" s="78" t="str">
        <f t="shared" si="45"/>
        <v>WIN</v>
      </c>
      <c r="N218" s="78"/>
      <c r="O218" s="78"/>
      <c r="P218" s="78">
        <f>IF(Schedules[[#This Row],[Player 4]]="",Schedules[[#This Row],[Player 3]],Schedules[[#This Row],[Player 3]]&amp;" / "&amp;Schedules[[#This Row],[Player 4]])</f>
        <v>0</v>
      </c>
      <c r="Q218" s="78">
        <v>10</v>
      </c>
      <c r="R218" s="78" t="str">
        <f t="shared" si="46"/>
        <v>LOST</v>
      </c>
      <c r="S218" s="61">
        <f>Input!B52</f>
        <v>0</v>
      </c>
      <c r="T218" s="61">
        <f>Input!C52</f>
        <v>0</v>
      </c>
    </row>
    <row r="219" spans="1:20" hidden="1" x14ac:dyDescent="0.3">
      <c r="A219" s="109" t="s">
        <v>56</v>
      </c>
      <c r="B219" s="78" t="str">
        <f t="shared" si="44"/>
        <v>Adda</v>
      </c>
      <c r="C219" s="79">
        <f>D218+TIME(0,3,0)</f>
        <v>0.74999999999999944</v>
      </c>
      <c r="D219" s="79">
        <f>C219+TIME(0,13,0)</f>
        <v>0.75902777777777719</v>
      </c>
      <c r="E219" s="78" t="str">
        <f t="shared" ref="E219:E228" si="49">E218</f>
        <v>Group</v>
      </c>
      <c r="F219" s="78">
        <f t="shared" ref="F219:G228" si="50">F217</f>
        <v>1</v>
      </c>
      <c r="G219" s="78">
        <f t="shared" si="50"/>
        <v>5</v>
      </c>
      <c r="H219" s="78" t="str">
        <f ca="1">IF(OR(S219="",T219=""),"",IFERROR(_xludf.XLOOKUP(S219,'Registrations'!#REF!,'Registrations'!#REF!,_xludf.XLOOKUP(S219,'Registrations'!$B$4:$B$211,'Registrations'!$E$4:$E$211,S219)),S219) &amp; " vs " &amp; IFERROR(_xludf.XLOOKUP(T219,'Registrations'!#REF!,'Registrations'!#REF!,_xludf.XLOOKUP(T219,'Registrations'!$B$4:$B$211,'Registrations'!$E$4:$E$211,T219)),T219))</f>
        <v>0 vs 0</v>
      </c>
      <c r="I219" s="78"/>
      <c r="J219" s="78"/>
      <c r="K219" s="78">
        <f>IF(Schedules[[#This Row],[Player 2]]="",Schedules[[#This Row],[Player 1]],Schedules[[#This Row],[Player 1]]&amp;" / "&amp;Schedules[[#This Row],[Player 2]])</f>
        <v>0</v>
      </c>
      <c r="L219" s="78">
        <v>15</v>
      </c>
      <c r="M219" s="78" t="str">
        <f t="shared" si="45"/>
        <v>WIN</v>
      </c>
      <c r="N219" s="78"/>
      <c r="O219" s="78"/>
      <c r="P219" s="78">
        <f>IF(Schedules[[#This Row],[Player 4]]="",Schedules[[#This Row],[Player 3]],Schedules[[#This Row],[Player 3]]&amp;" / "&amp;Schedules[[#This Row],[Player 4]])</f>
        <v>0</v>
      </c>
      <c r="Q219" s="78">
        <v>10</v>
      </c>
      <c r="R219" s="78" t="str">
        <f t="shared" si="46"/>
        <v>LOST</v>
      </c>
      <c r="S219" s="61">
        <f>Input!D51</f>
        <v>0</v>
      </c>
      <c r="T219" s="61">
        <f>Input!E51</f>
        <v>0</v>
      </c>
    </row>
    <row r="220" spans="1:20" hidden="1" x14ac:dyDescent="0.3">
      <c r="A220" s="109" t="s">
        <v>56</v>
      </c>
      <c r="B220" s="78" t="str">
        <f t="shared" si="44"/>
        <v>Adda</v>
      </c>
      <c r="C220" s="79">
        <f>C219</f>
        <v>0.74999999999999944</v>
      </c>
      <c r="D220" s="79">
        <f>D219</f>
        <v>0.75902777777777719</v>
      </c>
      <c r="E220" s="78" t="str">
        <f t="shared" si="49"/>
        <v>Group</v>
      </c>
      <c r="F220" s="78">
        <f t="shared" si="50"/>
        <v>2</v>
      </c>
      <c r="G220" s="78">
        <f t="shared" si="50"/>
        <v>6</v>
      </c>
      <c r="H220" s="78" t="str">
        <f ca="1">IF(OR(S220="",T220=""),"",IFERROR(_xludf.XLOOKUP(S220,'Registrations'!#REF!,'Registrations'!#REF!,_xludf.XLOOKUP(S220,'Registrations'!$B$4:$B$211,'Registrations'!$E$4:$E$211,S220)),S220) &amp; " vs " &amp; IFERROR(_xludf.XLOOKUP(T220,'Registrations'!#REF!,'Registrations'!#REF!,_xludf.XLOOKUP(T220,'Registrations'!$B$4:$B$211,'Registrations'!$E$4:$E$211,T220)),T220))</f>
        <v>0 vs 0</v>
      </c>
      <c r="I220" s="78"/>
      <c r="J220" s="78"/>
      <c r="K220" s="78">
        <f>IF(Schedules[[#This Row],[Player 2]]="",Schedules[[#This Row],[Player 1]],Schedules[[#This Row],[Player 1]]&amp;" / "&amp;Schedules[[#This Row],[Player 2]])</f>
        <v>0</v>
      </c>
      <c r="L220" s="78">
        <v>15</v>
      </c>
      <c r="M220" s="78" t="str">
        <f t="shared" si="45"/>
        <v>WIN</v>
      </c>
      <c r="N220" s="78"/>
      <c r="O220" s="78"/>
      <c r="P220" s="78">
        <f>IF(Schedules[[#This Row],[Player 4]]="",Schedules[[#This Row],[Player 3]],Schedules[[#This Row],[Player 3]]&amp;" / "&amp;Schedules[[#This Row],[Player 4]])</f>
        <v>0</v>
      </c>
      <c r="Q220" s="78">
        <v>10</v>
      </c>
      <c r="R220" s="78" t="str">
        <f t="shared" si="46"/>
        <v>LOST</v>
      </c>
      <c r="S220" s="61">
        <f>Input!D52</f>
        <v>0</v>
      </c>
      <c r="T220" s="61">
        <f>Input!E52</f>
        <v>0</v>
      </c>
    </row>
    <row r="221" spans="1:20" hidden="1" x14ac:dyDescent="0.3">
      <c r="A221" s="109" t="s">
        <v>56</v>
      </c>
      <c r="B221" s="78" t="str">
        <f t="shared" si="44"/>
        <v>Adda</v>
      </c>
      <c r="C221" s="79">
        <f>D220+TIME(0,3,0)</f>
        <v>0.76111111111111052</v>
      </c>
      <c r="D221" s="79">
        <f>C221+TIME(0,13,0)</f>
        <v>0.77013888888888826</v>
      </c>
      <c r="E221" s="78" t="str">
        <f t="shared" si="49"/>
        <v>Group</v>
      </c>
      <c r="F221" s="78">
        <f t="shared" si="50"/>
        <v>1</v>
      </c>
      <c r="G221" s="78">
        <f t="shared" si="50"/>
        <v>5</v>
      </c>
      <c r="H221" s="78" t="str">
        <f ca="1">IF(OR(S221="",T221=""),"",IFERROR(_xludf.XLOOKUP(S221,'Registrations'!#REF!,'Registrations'!#REF!,_xludf.XLOOKUP(S221,'Registrations'!$B$4:$B$211,'Registrations'!$E$4:$E$211,S221)),S221) &amp; " vs " &amp; IFERROR(_xludf.XLOOKUP(T221,'Registrations'!#REF!,'Registrations'!#REF!,_xludf.XLOOKUP(T221,'Registrations'!$B$4:$B$211,'Registrations'!$E$4:$E$211,T221)),T221))</f>
        <v>0 vs 0</v>
      </c>
      <c r="I221" s="78"/>
      <c r="J221" s="78"/>
      <c r="K221" s="78">
        <f>IF(Schedules[[#This Row],[Player 2]]="",Schedules[[#This Row],[Player 1]],Schedules[[#This Row],[Player 1]]&amp;" / "&amp;Schedules[[#This Row],[Player 2]])</f>
        <v>0</v>
      </c>
      <c r="L221" s="78">
        <v>15</v>
      </c>
      <c r="M221" s="78" t="str">
        <f t="shared" si="45"/>
        <v>WIN</v>
      </c>
      <c r="N221" s="78"/>
      <c r="O221" s="78"/>
      <c r="P221" s="78">
        <f>IF(Schedules[[#This Row],[Player 4]]="",Schedules[[#This Row],[Player 3]],Schedules[[#This Row],[Player 3]]&amp;" / "&amp;Schedules[[#This Row],[Player 4]])</f>
        <v>0</v>
      </c>
      <c r="Q221" s="78">
        <v>10</v>
      </c>
      <c r="R221" s="78" t="str">
        <f t="shared" si="46"/>
        <v>LOST</v>
      </c>
      <c r="S221" s="61">
        <f>Input!B51</f>
        <v>0</v>
      </c>
      <c r="T221" s="61">
        <f>Input!D51</f>
        <v>0</v>
      </c>
    </row>
    <row r="222" spans="1:20" hidden="1" x14ac:dyDescent="0.3">
      <c r="A222" s="109" t="s">
        <v>56</v>
      </c>
      <c r="B222" s="78" t="str">
        <f t="shared" si="44"/>
        <v>Adda</v>
      </c>
      <c r="C222" s="79">
        <f>C221</f>
        <v>0.76111111111111052</v>
      </c>
      <c r="D222" s="79">
        <f>D221</f>
        <v>0.77013888888888826</v>
      </c>
      <c r="E222" s="78" t="str">
        <f t="shared" si="49"/>
        <v>Group</v>
      </c>
      <c r="F222" s="78">
        <f t="shared" si="50"/>
        <v>2</v>
      </c>
      <c r="G222" s="78">
        <f t="shared" si="50"/>
        <v>6</v>
      </c>
      <c r="H222" s="78" t="str">
        <f ca="1">IF(OR(S222="",T222=""),"",IFERROR(_xludf.XLOOKUP(S222,'Registrations'!#REF!,'Registrations'!#REF!,_xludf.XLOOKUP(S222,'Registrations'!$B$4:$B$211,'Registrations'!$E$4:$E$211,S222)),S222) &amp; " vs " &amp; IFERROR(_xludf.XLOOKUP(T222,'Registrations'!#REF!,'Registrations'!#REF!,_xludf.XLOOKUP(T222,'Registrations'!$B$4:$B$211,'Registrations'!$E$4:$E$211,T222)),T222))</f>
        <v>0 vs 0</v>
      </c>
      <c r="I222" s="78"/>
      <c r="J222" s="78"/>
      <c r="K222" s="78">
        <f>IF(Schedules[[#This Row],[Player 2]]="",Schedules[[#This Row],[Player 1]],Schedules[[#This Row],[Player 1]]&amp;" / "&amp;Schedules[[#This Row],[Player 2]])</f>
        <v>0</v>
      </c>
      <c r="L222" s="78">
        <v>15</v>
      </c>
      <c r="M222" s="78" t="str">
        <f t="shared" si="45"/>
        <v>WIN</v>
      </c>
      <c r="N222" s="78"/>
      <c r="O222" s="78"/>
      <c r="P222" s="78">
        <f>IF(Schedules[[#This Row],[Player 4]]="",Schedules[[#This Row],[Player 3]],Schedules[[#This Row],[Player 3]]&amp;" / "&amp;Schedules[[#This Row],[Player 4]])</f>
        <v>0</v>
      </c>
      <c r="Q222" s="78">
        <v>10</v>
      </c>
      <c r="R222" s="78" t="str">
        <f t="shared" si="46"/>
        <v>LOST</v>
      </c>
      <c r="S222" s="61">
        <f>Input!B52</f>
        <v>0</v>
      </c>
      <c r="T222" s="61">
        <f>Input!D52</f>
        <v>0</v>
      </c>
    </row>
    <row r="223" spans="1:20" hidden="1" x14ac:dyDescent="0.3">
      <c r="A223" s="109" t="s">
        <v>56</v>
      </c>
      <c r="B223" s="78" t="str">
        <f t="shared" si="44"/>
        <v>Adda</v>
      </c>
      <c r="C223" s="79">
        <f>D222+TIME(0,3,0)</f>
        <v>0.77222222222222159</v>
      </c>
      <c r="D223" s="79">
        <f>C223+TIME(0,13,0)</f>
        <v>0.78124999999999933</v>
      </c>
      <c r="E223" s="78" t="str">
        <f t="shared" si="49"/>
        <v>Group</v>
      </c>
      <c r="F223" s="78">
        <f t="shared" si="50"/>
        <v>1</v>
      </c>
      <c r="G223" s="78">
        <f t="shared" si="50"/>
        <v>5</v>
      </c>
      <c r="H223" s="78" t="str">
        <f ca="1">IF(OR(S223="",T223=""),"",IFERROR(_xludf.XLOOKUP(S223,'Registrations'!#REF!,'Registrations'!#REF!,_xludf.XLOOKUP(S223,'Registrations'!$B$4:$B$211,'Registrations'!$E$4:$E$211,S223)),S223) &amp; " vs " &amp; IFERROR(_xludf.XLOOKUP(T223,'Registrations'!#REF!,'Registrations'!#REF!,_xludf.XLOOKUP(T223,'Registrations'!$B$4:$B$211,'Registrations'!$E$4:$E$211,T223)),T223))</f>
        <v>0 vs 0</v>
      </c>
      <c r="I223" s="78"/>
      <c r="J223" s="78"/>
      <c r="K223" s="78">
        <f>IF(Schedules[[#This Row],[Player 2]]="",Schedules[[#This Row],[Player 1]],Schedules[[#This Row],[Player 1]]&amp;" / "&amp;Schedules[[#This Row],[Player 2]])</f>
        <v>0</v>
      </c>
      <c r="L223" s="78">
        <v>15</v>
      </c>
      <c r="M223" s="78" t="str">
        <f t="shared" si="45"/>
        <v>WIN</v>
      </c>
      <c r="N223" s="78"/>
      <c r="O223" s="78"/>
      <c r="P223" s="78">
        <f>IF(Schedules[[#This Row],[Player 4]]="",Schedules[[#This Row],[Player 3]],Schedules[[#This Row],[Player 3]]&amp;" / "&amp;Schedules[[#This Row],[Player 4]])</f>
        <v>0</v>
      </c>
      <c r="Q223" s="78">
        <v>10</v>
      </c>
      <c r="R223" s="78" t="str">
        <f t="shared" si="46"/>
        <v>LOST</v>
      </c>
      <c r="S223" s="61">
        <f>Input!C51</f>
        <v>0</v>
      </c>
      <c r="T223" s="61">
        <f>Input!E51</f>
        <v>0</v>
      </c>
    </row>
    <row r="224" spans="1:20" hidden="1" x14ac:dyDescent="0.3">
      <c r="A224" s="109" t="s">
        <v>56</v>
      </c>
      <c r="B224" s="78" t="str">
        <f t="shared" si="44"/>
        <v>Adda</v>
      </c>
      <c r="C224" s="79">
        <f>C223</f>
        <v>0.77222222222222159</v>
      </c>
      <c r="D224" s="79">
        <f>D223</f>
        <v>0.78124999999999933</v>
      </c>
      <c r="E224" s="78" t="str">
        <f t="shared" si="49"/>
        <v>Group</v>
      </c>
      <c r="F224" s="78">
        <f t="shared" si="50"/>
        <v>2</v>
      </c>
      <c r="G224" s="78">
        <f t="shared" si="50"/>
        <v>6</v>
      </c>
      <c r="H224" s="78" t="str">
        <f ca="1">IF(OR(S224="",T224=""),"",IFERROR(_xludf.XLOOKUP(S224,'Registrations'!#REF!,'Registrations'!#REF!,_xludf.XLOOKUP(S224,'Registrations'!$B$4:$B$211,'Registrations'!$E$4:$E$211,S224)),S224) &amp; " vs " &amp; IFERROR(_xludf.XLOOKUP(T224,'Registrations'!#REF!,'Registrations'!#REF!,_xludf.XLOOKUP(T224,'Registrations'!$B$4:$B$211,'Registrations'!$E$4:$E$211,T224)),T224))</f>
        <v>0 vs 0</v>
      </c>
      <c r="I224" s="78"/>
      <c r="J224" s="78"/>
      <c r="K224" s="78">
        <f>IF(Schedules[[#This Row],[Player 2]]="",Schedules[[#This Row],[Player 1]],Schedules[[#This Row],[Player 1]]&amp;" / "&amp;Schedules[[#This Row],[Player 2]])</f>
        <v>0</v>
      </c>
      <c r="L224" s="78">
        <v>15</v>
      </c>
      <c r="M224" s="78" t="str">
        <f t="shared" si="45"/>
        <v>WIN</v>
      </c>
      <c r="N224" s="78"/>
      <c r="O224" s="78"/>
      <c r="P224" s="78">
        <f>IF(Schedules[[#This Row],[Player 4]]="",Schedules[[#This Row],[Player 3]],Schedules[[#This Row],[Player 3]]&amp;" / "&amp;Schedules[[#This Row],[Player 4]])</f>
        <v>0</v>
      </c>
      <c r="Q224" s="78">
        <v>10</v>
      </c>
      <c r="R224" s="78" t="str">
        <f t="shared" si="46"/>
        <v>LOST</v>
      </c>
      <c r="S224" s="61">
        <f>Input!C52</f>
        <v>0</v>
      </c>
      <c r="T224" s="61">
        <f>Input!E52</f>
        <v>0</v>
      </c>
    </row>
    <row r="225" spans="1:20" hidden="1" x14ac:dyDescent="0.3">
      <c r="A225" s="109" t="s">
        <v>56</v>
      </c>
      <c r="B225" s="78" t="str">
        <f t="shared" si="44"/>
        <v>Adda</v>
      </c>
      <c r="C225" s="79">
        <f>D224+TIME(0,3,0)</f>
        <v>0.78333333333333266</v>
      </c>
      <c r="D225" s="79">
        <f>C225+TIME(0,13,0)</f>
        <v>0.79236111111111041</v>
      </c>
      <c r="E225" s="78" t="str">
        <f t="shared" si="49"/>
        <v>Group</v>
      </c>
      <c r="F225" s="78">
        <f t="shared" si="50"/>
        <v>1</v>
      </c>
      <c r="G225" s="78">
        <f t="shared" si="50"/>
        <v>5</v>
      </c>
      <c r="H225" s="78" t="str">
        <f ca="1">IF(OR(S225="",T225=""),"",IFERROR(_xludf.XLOOKUP(S225,'Registrations'!#REF!,'Registrations'!#REF!,_xludf.XLOOKUP(S225,'Registrations'!$B$4:$B$211,'Registrations'!$E$4:$E$211,S225)),S225) &amp; " vs " &amp; IFERROR(_xludf.XLOOKUP(T225,'Registrations'!#REF!,'Registrations'!#REF!,_xludf.XLOOKUP(T225,'Registrations'!$B$4:$B$211,'Registrations'!$E$4:$E$211,T225)),T225))</f>
        <v>0 vs 0</v>
      </c>
      <c r="I225" s="78"/>
      <c r="J225" s="78"/>
      <c r="K225" s="78">
        <f>IF(Schedules[[#This Row],[Player 2]]="",Schedules[[#This Row],[Player 1]],Schedules[[#This Row],[Player 1]]&amp;" / "&amp;Schedules[[#This Row],[Player 2]])</f>
        <v>0</v>
      </c>
      <c r="L225" s="78">
        <v>15</v>
      </c>
      <c r="M225" s="78" t="str">
        <f t="shared" si="45"/>
        <v>WIN</v>
      </c>
      <c r="N225" s="78"/>
      <c r="O225" s="78"/>
      <c r="P225" s="78">
        <f>IF(Schedules[[#This Row],[Player 4]]="",Schedules[[#This Row],[Player 3]],Schedules[[#This Row],[Player 3]]&amp;" / "&amp;Schedules[[#This Row],[Player 4]])</f>
        <v>0</v>
      </c>
      <c r="Q225" s="78">
        <v>10</v>
      </c>
      <c r="R225" s="78" t="str">
        <f t="shared" si="46"/>
        <v>LOST</v>
      </c>
      <c r="S225" s="61">
        <f>Input!B51</f>
        <v>0</v>
      </c>
      <c r="T225" s="61">
        <f>Input!E51</f>
        <v>0</v>
      </c>
    </row>
    <row r="226" spans="1:20" hidden="1" x14ac:dyDescent="0.3">
      <c r="A226" s="109" t="s">
        <v>56</v>
      </c>
      <c r="B226" s="78" t="str">
        <f t="shared" si="44"/>
        <v>Adda</v>
      </c>
      <c r="C226" s="79">
        <f>C225</f>
        <v>0.78333333333333266</v>
      </c>
      <c r="D226" s="79">
        <f>D225</f>
        <v>0.79236111111111041</v>
      </c>
      <c r="E226" s="78" t="str">
        <f t="shared" si="49"/>
        <v>Group</v>
      </c>
      <c r="F226" s="78">
        <f t="shared" si="50"/>
        <v>2</v>
      </c>
      <c r="G226" s="78">
        <f t="shared" si="50"/>
        <v>6</v>
      </c>
      <c r="H226" s="78" t="str">
        <f ca="1">IF(OR(S226="",T226=""),"",IFERROR(_xludf.XLOOKUP(S226,'Registrations'!#REF!,'Registrations'!#REF!,_xludf.XLOOKUP(S226,'Registrations'!$B$4:$B$211,'Registrations'!$E$4:$E$211,S226)),S226) &amp; " vs " &amp; IFERROR(_xludf.XLOOKUP(T226,'Registrations'!#REF!,'Registrations'!#REF!,_xludf.XLOOKUP(T226,'Registrations'!$B$4:$B$211,'Registrations'!$E$4:$E$211,T226)),T226))</f>
        <v>0 vs 0</v>
      </c>
      <c r="I226" s="78"/>
      <c r="J226" s="78"/>
      <c r="K226" s="78">
        <f>IF(Schedules[[#This Row],[Player 2]]="",Schedules[[#This Row],[Player 1]],Schedules[[#This Row],[Player 1]]&amp;" / "&amp;Schedules[[#This Row],[Player 2]])</f>
        <v>0</v>
      </c>
      <c r="L226" s="78">
        <v>15</v>
      </c>
      <c r="M226" s="78" t="str">
        <f t="shared" si="45"/>
        <v>WIN</v>
      </c>
      <c r="N226" s="78"/>
      <c r="O226" s="78"/>
      <c r="P226" s="78">
        <f>IF(Schedules[[#This Row],[Player 4]]="",Schedules[[#This Row],[Player 3]],Schedules[[#This Row],[Player 3]]&amp;" / "&amp;Schedules[[#This Row],[Player 4]])</f>
        <v>0</v>
      </c>
      <c r="Q226" s="78">
        <v>10</v>
      </c>
      <c r="R226" s="78" t="str">
        <f t="shared" si="46"/>
        <v>LOST</v>
      </c>
      <c r="S226" s="61">
        <f>Input!B52</f>
        <v>0</v>
      </c>
      <c r="T226" s="61">
        <f>Input!E52</f>
        <v>0</v>
      </c>
    </row>
    <row r="227" spans="1:20" hidden="1" x14ac:dyDescent="0.3">
      <c r="A227" s="109" t="s">
        <v>56</v>
      </c>
      <c r="B227" s="78" t="str">
        <f t="shared" si="44"/>
        <v>Adda</v>
      </c>
      <c r="C227" s="79">
        <f>D226+TIME(0,3,0)</f>
        <v>0.79444444444444373</v>
      </c>
      <c r="D227" s="79">
        <f>C227+TIME(0,13,0)</f>
        <v>0.80347222222222148</v>
      </c>
      <c r="E227" s="78" t="str">
        <f t="shared" si="49"/>
        <v>Group</v>
      </c>
      <c r="F227" s="78">
        <f t="shared" si="50"/>
        <v>1</v>
      </c>
      <c r="G227" s="78">
        <f t="shared" si="50"/>
        <v>5</v>
      </c>
      <c r="H227" s="78" t="str">
        <f ca="1">IF(OR(S227="",T227=""),"",IFERROR(_xludf.XLOOKUP(S227,'Registrations'!#REF!,'Registrations'!#REF!,_xludf.XLOOKUP(S227,'Registrations'!$B$4:$B$211,'Registrations'!$E$4:$E$211,S227)),S227) &amp; " vs " &amp; IFERROR(_xludf.XLOOKUP(T227,'Registrations'!#REF!,'Registrations'!#REF!,_xludf.XLOOKUP(T227,'Registrations'!$B$4:$B$211,'Registrations'!$E$4:$E$211,T227)),T227))</f>
        <v>0 vs 0</v>
      </c>
      <c r="I227" s="78"/>
      <c r="J227" s="78"/>
      <c r="K227" s="78">
        <f>IF(Schedules[[#This Row],[Player 2]]="",Schedules[[#This Row],[Player 1]],Schedules[[#This Row],[Player 1]]&amp;" / "&amp;Schedules[[#This Row],[Player 2]])</f>
        <v>0</v>
      </c>
      <c r="L227" s="78">
        <v>15</v>
      </c>
      <c r="M227" s="78" t="str">
        <f t="shared" si="45"/>
        <v>WIN</v>
      </c>
      <c r="N227" s="78"/>
      <c r="O227" s="78"/>
      <c r="P227" s="78">
        <f>IF(Schedules[[#This Row],[Player 4]]="",Schedules[[#This Row],[Player 3]],Schedules[[#This Row],[Player 3]]&amp;" / "&amp;Schedules[[#This Row],[Player 4]])</f>
        <v>0</v>
      </c>
      <c r="Q227" s="78">
        <v>10</v>
      </c>
      <c r="R227" s="78" t="str">
        <f t="shared" si="46"/>
        <v>LOST</v>
      </c>
      <c r="S227" s="61">
        <f>Input!C51</f>
        <v>0</v>
      </c>
      <c r="T227" s="61">
        <f>Input!D51</f>
        <v>0</v>
      </c>
    </row>
    <row r="228" spans="1:20" hidden="1" x14ac:dyDescent="0.3">
      <c r="A228" s="109" t="s">
        <v>56</v>
      </c>
      <c r="B228" s="78" t="str">
        <f t="shared" si="44"/>
        <v>Adda</v>
      </c>
      <c r="C228" s="79">
        <f>C227</f>
        <v>0.79444444444444373</v>
      </c>
      <c r="D228" s="79">
        <f>D227</f>
        <v>0.80347222222222148</v>
      </c>
      <c r="E228" s="78" t="str">
        <f t="shared" si="49"/>
        <v>Group</v>
      </c>
      <c r="F228" s="78">
        <f t="shared" si="50"/>
        <v>2</v>
      </c>
      <c r="G228" s="78">
        <f t="shared" si="50"/>
        <v>6</v>
      </c>
      <c r="H228" s="78" t="str">
        <f ca="1">IF(OR(S228="",T228=""),"",IFERROR(_xludf.XLOOKUP(S228,'Registrations'!#REF!,'Registrations'!#REF!,_xludf.XLOOKUP(S228,'Registrations'!$B$4:$B$211,'Registrations'!$E$4:$E$211,S228)),S228) &amp; " vs " &amp; IFERROR(_xludf.XLOOKUP(T228,'Registrations'!#REF!,'Registrations'!#REF!,_xludf.XLOOKUP(T228,'Registrations'!$B$4:$B$211,'Registrations'!$E$4:$E$211,T228)),T228))</f>
        <v>0 vs 0</v>
      </c>
      <c r="I228" s="78"/>
      <c r="J228" s="78"/>
      <c r="K228" s="78">
        <f>IF(Schedules[[#This Row],[Player 2]]="",Schedules[[#This Row],[Player 1]],Schedules[[#This Row],[Player 1]]&amp;" / "&amp;Schedules[[#This Row],[Player 2]])</f>
        <v>0</v>
      </c>
      <c r="L228" s="78">
        <v>15</v>
      </c>
      <c r="M228" s="78" t="str">
        <f t="shared" si="45"/>
        <v>WIN</v>
      </c>
      <c r="N228" s="78"/>
      <c r="O228" s="78"/>
      <c r="P228" s="78">
        <f>IF(Schedules[[#This Row],[Player 4]]="",Schedules[[#This Row],[Player 3]],Schedules[[#This Row],[Player 3]]&amp;" / "&amp;Schedules[[#This Row],[Player 4]])</f>
        <v>0</v>
      </c>
      <c r="Q228" s="78">
        <v>10</v>
      </c>
      <c r="R228" s="78" t="str">
        <f t="shared" si="46"/>
        <v>LOST</v>
      </c>
      <c r="S228" s="61">
        <f>Input!C52</f>
        <v>0</v>
      </c>
      <c r="T228" s="61">
        <f>Input!D52</f>
        <v>0</v>
      </c>
    </row>
    <row r="229" spans="1:20" hidden="1" x14ac:dyDescent="0.3">
      <c r="A229" s="110" t="s">
        <v>56</v>
      </c>
      <c r="B229" s="76" t="str">
        <f t="shared" si="44"/>
        <v>Adda</v>
      </c>
      <c r="C229" s="77">
        <f>D228+TIME(0,3,0)</f>
        <v>0.8055555555555548</v>
      </c>
      <c r="D229" s="77">
        <f>C229+TIME(0,13,0)</f>
        <v>0.81458333333333255</v>
      </c>
      <c r="E229" s="76" t="s">
        <v>432</v>
      </c>
      <c r="F229" s="76">
        <f t="shared" ref="F229:F237" si="51">F227</f>
        <v>1</v>
      </c>
      <c r="G229" s="76" t="s">
        <v>431</v>
      </c>
      <c r="H229" s="76" t="str">
        <f ca="1">IF(OR(S229="",T229=""),"",IFERROR(_xludf.XLOOKUP(S229,'Registrations'!#REF!,'Registrations'!#REF!,_xludf.XLOOKUP(S229,'Registrations'!$B$4:$B$211,'Registrations'!$E$4:$E$211,S229)),S229) &amp; " vs " &amp; IFERROR(_xludf.XLOOKUP(T229,'Registrations'!#REF!,'Registrations'!#REF!,_xludf.XLOOKUP(T229,'Registrations'!$B$4:$B$211,'Registrations'!$E$4:$E$211,T229)),T229))</f>
        <v>0 vs 0</v>
      </c>
      <c r="I229" s="76"/>
      <c r="J229" s="76"/>
      <c r="K229" s="76">
        <f>IF(Schedules[[#This Row],[Player 2]]="",Schedules[[#This Row],[Player 1]],Schedules[[#This Row],[Player 1]]&amp;" / "&amp;Schedules[[#This Row],[Player 2]])</f>
        <v>0</v>
      </c>
      <c r="L229" s="76">
        <v>15</v>
      </c>
      <c r="M229" s="76" t="str">
        <f t="shared" si="45"/>
        <v>WIN</v>
      </c>
      <c r="N229" s="76"/>
      <c r="O229" s="76"/>
      <c r="P229" s="76">
        <f>IF(Schedules[[#This Row],[Player 4]]="",Schedules[[#This Row],[Player 3]],Schedules[[#This Row],[Player 3]]&amp;" / "&amp;Schedules[[#This Row],[Player 4]])</f>
        <v>0</v>
      </c>
      <c r="Q229" s="76">
        <v>10</v>
      </c>
      <c r="R229" s="76" t="str">
        <f t="shared" si="46"/>
        <v>LOST</v>
      </c>
      <c r="S229" s="61">
        <f>Input!H51</f>
        <v>0</v>
      </c>
      <c r="T229" s="61">
        <f>Input!I51</f>
        <v>0</v>
      </c>
    </row>
    <row r="230" spans="1:20" hidden="1" x14ac:dyDescent="0.3">
      <c r="A230" s="110" t="s">
        <v>56</v>
      </c>
      <c r="B230" s="76" t="str">
        <f t="shared" si="44"/>
        <v>Adda</v>
      </c>
      <c r="C230" s="77">
        <f>C229</f>
        <v>0.8055555555555548</v>
      </c>
      <c r="D230" s="77">
        <f>D229</f>
        <v>0.81458333333333255</v>
      </c>
      <c r="E230" s="76" t="str">
        <f>E229</f>
        <v>Pre-Q</v>
      </c>
      <c r="F230" s="76">
        <f t="shared" si="51"/>
        <v>2</v>
      </c>
      <c r="G230" s="76" t="str">
        <f>G229</f>
        <v>5 vs 6</v>
      </c>
      <c r="H230" s="76" t="str">
        <f ca="1">IF(OR(S230="",T230=""),"",IFERROR(_xludf.XLOOKUP(S230,'Registrations'!#REF!,'Registrations'!#REF!,_xludf.XLOOKUP(S230,'Registrations'!$B$4:$B$211,'Registrations'!$E$4:$E$211,S230)),S230) &amp; " vs " &amp; IFERROR(_xludf.XLOOKUP(T230,'Registrations'!#REF!,'Registrations'!#REF!,_xludf.XLOOKUP(T230,'Registrations'!$B$4:$B$211,'Registrations'!$E$4:$E$211,T230)),T230))</f>
        <v>0 vs 0</v>
      </c>
      <c r="I230" s="76"/>
      <c r="J230" s="76"/>
      <c r="K230" s="76">
        <f>IF(Schedules[[#This Row],[Player 2]]="",Schedules[[#This Row],[Player 1]],Schedules[[#This Row],[Player 1]]&amp;" / "&amp;Schedules[[#This Row],[Player 2]])</f>
        <v>0</v>
      </c>
      <c r="L230" s="76">
        <v>15</v>
      </c>
      <c r="M230" s="76" t="str">
        <f t="shared" si="45"/>
        <v>WIN</v>
      </c>
      <c r="N230" s="76"/>
      <c r="O230" s="76"/>
      <c r="P230" s="76">
        <f>IF(Schedules[[#This Row],[Player 4]]="",Schedules[[#This Row],[Player 3]],Schedules[[#This Row],[Player 3]]&amp;" / "&amp;Schedules[[#This Row],[Player 4]])</f>
        <v>0</v>
      </c>
      <c r="Q230" s="76">
        <v>10</v>
      </c>
      <c r="R230" s="76" t="str">
        <f t="shared" si="46"/>
        <v>LOST</v>
      </c>
      <c r="S230" s="61">
        <f>Input!H52</f>
        <v>0</v>
      </c>
      <c r="T230" s="61">
        <f>Input!I52</f>
        <v>0</v>
      </c>
    </row>
    <row r="231" spans="1:20" hidden="1" x14ac:dyDescent="0.3">
      <c r="A231" s="111" t="s">
        <v>56</v>
      </c>
      <c r="B231" s="74" t="str">
        <f t="shared" si="44"/>
        <v>Adda</v>
      </c>
      <c r="C231" s="75">
        <f>D230+TIME(0,3,0)</f>
        <v>0.81666666666666587</v>
      </c>
      <c r="D231" s="75">
        <f>C231+TIME(0,13,0)</f>
        <v>0.82569444444444362</v>
      </c>
      <c r="E231" s="74" t="s">
        <v>40</v>
      </c>
      <c r="F231" s="74">
        <f t="shared" si="51"/>
        <v>1</v>
      </c>
      <c r="G231" s="74" t="s">
        <v>429</v>
      </c>
      <c r="H231" s="74" t="str">
        <f ca="1">IF(OR(S231="",T231=""),"",IFERROR(_xludf.XLOOKUP(S231,'Registrations'!#REF!,'Registrations'!#REF!,_xludf.XLOOKUP(S231,'Registrations'!$B$4:$B$211,'Registrations'!$E$4:$E$211,S231)),S231) &amp; " vs " &amp; IFERROR(_xludf.XLOOKUP(T231,'Registrations'!#REF!,'Registrations'!#REF!,_xludf.XLOOKUP(T231,'Registrations'!$B$4:$B$211,'Registrations'!$E$4:$E$211,T231)),T231))</f>
        <v>0 vs 0</v>
      </c>
      <c r="I231" s="74"/>
      <c r="J231" s="74"/>
      <c r="K231" s="74">
        <f>IF(Schedules[[#This Row],[Player 2]]="",Schedules[[#This Row],[Player 1]],Schedules[[#This Row],[Player 1]]&amp;" / "&amp;Schedules[[#This Row],[Player 2]])</f>
        <v>0</v>
      </c>
      <c r="L231" s="74">
        <v>15</v>
      </c>
      <c r="M231" s="74" t="str">
        <f t="shared" si="45"/>
        <v>WIN</v>
      </c>
      <c r="N231" s="74"/>
      <c r="O231" s="74"/>
      <c r="P231" s="74">
        <f>IF(Schedules[[#This Row],[Player 4]]="",Schedules[[#This Row],[Player 3]],Schedules[[#This Row],[Player 3]]&amp;" / "&amp;Schedules[[#This Row],[Player 4]])</f>
        <v>0</v>
      </c>
      <c r="Q231" s="74">
        <v>10</v>
      </c>
      <c r="R231" s="74" t="str">
        <f t="shared" si="46"/>
        <v>LOST</v>
      </c>
      <c r="S231" s="61">
        <f>Input!L47</f>
        <v>0</v>
      </c>
      <c r="T231" s="61">
        <f>Input!M47</f>
        <v>0</v>
      </c>
    </row>
    <row r="232" spans="1:20" hidden="1" x14ac:dyDescent="0.3">
      <c r="A232" s="111" t="s">
        <v>56</v>
      </c>
      <c r="B232" s="74" t="str">
        <f t="shared" si="44"/>
        <v>Adda</v>
      </c>
      <c r="C232" s="75">
        <f>C231</f>
        <v>0.81666666666666587</v>
      </c>
      <c r="D232" s="75">
        <f>D231</f>
        <v>0.82569444444444362</v>
      </c>
      <c r="E232" s="74" t="str">
        <f>E231</f>
        <v>Quarters</v>
      </c>
      <c r="F232" s="74">
        <f t="shared" si="51"/>
        <v>2</v>
      </c>
      <c r="G232" s="74" t="s">
        <v>428</v>
      </c>
      <c r="H232" s="74" t="str">
        <f ca="1">IF(OR(S232="",T232=""),"",IFERROR(_xludf.XLOOKUP(S232,'Registrations'!#REF!,'Registrations'!#REF!,_xludf.XLOOKUP(S232,'Registrations'!$B$4:$B$211,'Registrations'!$E$4:$E$211,S232)),S232) &amp; " vs " &amp; IFERROR(_xludf.XLOOKUP(T232,'Registrations'!#REF!,'Registrations'!#REF!,_xludf.XLOOKUP(T232,'Registrations'!$B$4:$B$211,'Registrations'!$E$4:$E$211,T232)),T232))</f>
        <v>0 vs 0</v>
      </c>
      <c r="I232" s="74"/>
      <c r="J232" s="74"/>
      <c r="K232" s="74">
        <f>IF(Schedules[[#This Row],[Player 2]]="",Schedules[[#This Row],[Player 1]],Schedules[[#This Row],[Player 1]]&amp;" / "&amp;Schedules[[#This Row],[Player 2]])</f>
        <v>0</v>
      </c>
      <c r="L232" s="74">
        <v>15</v>
      </c>
      <c r="M232" s="74" t="str">
        <f t="shared" si="45"/>
        <v>WIN</v>
      </c>
      <c r="N232" s="74"/>
      <c r="O232" s="74"/>
      <c r="P232" s="74">
        <f>IF(Schedules[[#This Row],[Player 4]]="",Schedules[[#This Row],[Player 3]],Schedules[[#This Row],[Player 3]]&amp;" / "&amp;Schedules[[#This Row],[Player 4]])</f>
        <v>0</v>
      </c>
      <c r="Q232" s="74">
        <v>10</v>
      </c>
      <c r="R232" s="74" t="str">
        <f t="shared" si="46"/>
        <v>LOST</v>
      </c>
      <c r="S232" s="61">
        <f>Input!L48</f>
        <v>0</v>
      </c>
      <c r="T232" s="61">
        <f>Input!M48</f>
        <v>0</v>
      </c>
    </row>
    <row r="233" spans="1:20" hidden="1" x14ac:dyDescent="0.3">
      <c r="A233" s="111" t="s">
        <v>56</v>
      </c>
      <c r="B233" s="74" t="str">
        <f t="shared" si="44"/>
        <v>Adda</v>
      </c>
      <c r="C233" s="75">
        <f>D232+TIME(0,3,0)</f>
        <v>0.82777777777777695</v>
      </c>
      <c r="D233" s="75">
        <f>C233+TIME(0,13,0)</f>
        <v>0.83680555555555469</v>
      </c>
      <c r="E233" s="74" t="str">
        <f>E232</f>
        <v>Quarters</v>
      </c>
      <c r="F233" s="74">
        <f t="shared" si="51"/>
        <v>1</v>
      </c>
      <c r="G233" s="74" t="s">
        <v>430</v>
      </c>
      <c r="H233" s="74" t="str">
        <f ca="1">IF(OR(S233="",T233=""),"",IFERROR(_xludf.XLOOKUP(S233,'Registrations'!#REF!,'Registrations'!#REF!,_xludf.XLOOKUP(S233,'Registrations'!$B$4:$B$211,'Registrations'!$E$4:$E$211,S233)),S233) &amp; " vs " &amp; IFERROR(_xludf.XLOOKUP(T233,'Registrations'!#REF!,'Registrations'!#REF!,_xludf.XLOOKUP(T233,'Registrations'!$B$4:$B$211,'Registrations'!$E$4:$E$211,T233)),T233))</f>
        <v>0 vs 0</v>
      </c>
      <c r="I233" s="74"/>
      <c r="J233" s="74"/>
      <c r="K233" s="74">
        <f>IF(Schedules[[#This Row],[Player 2]]="",Schedules[[#This Row],[Player 1]],Schedules[[#This Row],[Player 1]]&amp;" / "&amp;Schedules[[#This Row],[Player 2]])</f>
        <v>0</v>
      </c>
      <c r="L233" s="74">
        <v>15</v>
      </c>
      <c r="M233" s="74" t="str">
        <f t="shared" si="45"/>
        <v>WIN</v>
      </c>
      <c r="N233" s="74"/>
      <c r="O233" s="74"/>
      <c r="P233" s="74">
        <f>IF(Schedules[[#This Row],[Player 4]]="",Schedules[[#This Row],[Player 3]],Schedules[[#This Row],[Player 3]]&amp;" / "&amp;Schedules[[#This Row],[Player 4]])</f>
        <v>0</v>
      </c>
      <c r="Q233" s="74">
        <v>10</v>
      </c>
      <c r="R233" s="74" t="str">
        <f t="shared" si="46"/>
        <v>LOST</v>
      </c>
      <c r="S233" s="61">
        <f>Input!L49</f>
        <v>0</v>
      </c>
      <c r="T233" s="61">
        <f>Input!M49</f>
        <v>0</v>
      </c>
    </row>
    <row r="234" spans="1:20" hidden="1" x14ac:dyDescent="0.3">
      <c r="A234" s="112" t="s">
        <v>56</v>
      </c>
      <c r="B234" s="70" t="str">
        <f t="shared" si="44"/>
        <v>Adda</v>
      </c>
      <c r="C234" s="71">
        <f>C233</f>
        <v>0.82777777777777695</v>
      </c>
      <c r="D234" s="71">
        <f>D233</f>
        <v>0.83680555555555469</v>
      </c>
      <c r="E234" s="70" t="s">
        <v>424</v>
      </c>
      <c r="F234" s="70">
        <f t="shared" si="51"/>
        <v>2</v>
      </c>
      <c r="G234" s="70"/>
      <c r="H234" s="70" t="str">
        <f>IF(OR(S234="",T234=""),"",IFERROR(_xludf.XLOOKUP(S234,'Registrations'!#REF!,'Registrations'!#REF!,_xludf.XLOOKUP(S234,'Registrations'!$B$4:$B$211,'Registrations'!$E$4:$E$211,S234)),S234) &amp; " vs " &amp; IFERROR(_xludf.XLOOKUP(T234,'Registrations'!#REF!,'Registrations'!#REF!,_xludf.XLOOKUP(T234,'Registrations'!$B$4:$B$211,'Registrations'!$E$4:$E$211,T234)),T234))</f>
        <v/>
      </c>
      <c r="I234" s="70"/>
      <c r="J234" s="70"/>
      <c r="K234" s="70">
        <f>IF(Schedules[[#This Row],[Player 2]]="",Schedules[[#This Row],[Player 1]],Schedules[[#This Row],[Player 1]]&amp;" / "&amp;Schedules[[#This Row],[Player 2]])</f>
        <v>0</v>
      </c>
      <c r="L234" s="70">
        <v>15</v>
      </c>
      <c r="M234" s="70" t="str">
        <f t="shared" si="45"/>
        <v>WIN</v>
      </c>
      <c r="N234" s="70"/>
      <c r="O234" s="70"/>
      <c r="P234" s="70">
        <f>IF(Schedules[[#This Row],[Player 4]]="",Schedules[[#This Row],[Player 3]],Schedules[[#This Row],[Player 3]]&amp;" / "&amp;Schedules[[#This Row],[Player 4]])</f>
        <v>0</v>
      </c>
      <c r="Q234" s="70">
        <v>10</v>
      </c>
      <c r="R234" s="70" t="str">
        <f t="shared" si="46"/>
        <v>LOST</v>
      </c>
      <c r="T234" s="61"/>
    </row>
    <row r="235" spans="1:20" hidden="1" x14ac:dyDescent="0.3">
      <c r="A235" s="113" t="s">
        <v>56</v>
      </c>
      <c r="B235" s="72" t="str">
        <f t="shared" si="44"/>
        <v>Adda</v>
      </c>
      <c r="C235" s="73">
        <f>D234+TIME(0,3,0)</f>
        <v>0.83888888888888802</v>
      </c>
      <c r="D235" s="73">
        <f>C235+TIME(0,13,0)</f>
        <v>0.84791666666666576</v>
      </c>
      <c r="E235" s="72" t="s">
        <v>444</v>
      </c>
      <c r="F235" s="72">
        <f t="shared" si="51"/>
        <v>1</v>
      </c>
      <c r="G235" s="72" t="s">
        <v>426</v>
      </c>
      <c r="H235" s="72" t="str">
        <f ca="1">IF(OR(S235="",T235=""),"",IFERROR(_xludf.XLOOKUP(S235,'Registrations'!#REF!,'Registrations'!#REF!,_xludf.XLOOKUP(S235,'Registrations'!$B$4:$B$211,'Registrations'!$E$4:$E$211,S235)),S235) &amp; " vs " &amp; IFERROR(_xludf.XLOOKUP(T235,'Registrations'!#REF!,'Registrations'!#REF!,_xludf.XLOOKUP(T235,'Registrations'!$B$4:$B$211,'Registrations'!$E$4:$E$211,T235)),T235))</f>
        <v>0 vs 0</v>
      </c>
      <c r="I235" s="72"/>
      <c r="J235" s="72"/>
      <c r="K235" s="72">
        <f>IF(Schedules[[#This Row],[Player 2]]="",Schedules[[#This Row],[Player 1]],Schedules[[#This Row],[Player 1]]&amp;" / "&amp;Schedules[[#This Row],[Player 2]])</f>
        <v>0</v>
      </c>
      <c r="L235" s="72">
        <v>15</v>
      </c>
      <c r="M235" s="72" t="str">
        <f t="shared" si="45"/>
        <v>WIN</v>
      </c>
      <c r="N235" s="72"/>
      <c r="O235" s="72"/>
      <c r="P235" s="72">
        <f>IF(Schedules[[#This Row],[Player 4]]="",Schedules[[#This Row],[Player 3]],Schedules[[#This Row],[Player 3]]&amp;" / "&amp;Schedules[[#This Row],[Player 4]])</f>
        <v>0</v>
      </c>
      <c r="Q235" s="72">
        <v>10</v>
      </c>
      <c r="R235" s="72" t="str">
        <f t="shared" si="46"/>
        <v>LOST</v>
      </c>
      <c r="S235" s="61">
        <f>Input!P47</f>
        <v>0</v>
      </c>
      <c r="T235" s="61">
        <f>Input!Q47</f>
        <v>0</v>
      </c>
    </row>
    <row r="236" spans="1:20" hidden="1" x14ac:dyDescent="0.3">
      <c r="A236" s="113" t="s">
        <v>56</v>
      </c>
      <c r="B236" s="72" t="str">
        <f t="shared" si="44"/>
        <v>Adda</v>
      </c>
      <c r="C236" s="73">
        <f>C235</f>
        <v>0.83888888888888802</v>
      </c>
      <c r="D236" s="73">
        <f>D235</f>
        <v>0.84791666666666576</v>
      </c>
      <c r="E236" s="72" t="str">
        <f>E235</f>
        <v>Semi Finals</v>
      </c>
      <c r="F236" s="72">
        <f t="shared" si="51"/>
        <v>2</v>
      </c>
      <c r="G236" s="72" t="s">
        <v>425</v>
      </c>
      <c r="H236" s="72" t="str">
        <f ca="1">IF(OR(S236="",T236=""),"",IFERROR(_xludf.XLOOKUP(S236,'Registrations'!#REF!,'Registrations'!#REF!,_xludf.XLOOKUP(S236,'Registrations'!$B$4:$B$211,'Registrations'!$E$4:$E$211,S236)),S236) &amp; " vs " &amp; IFERROR(_xludf.XLOOKUP(T236,'Registrations'!#REF!,'Registrations'!#REF!,_xludf.XLOOKUP(T236,'Registrations'!$B$4:$B$211,'Registrations'!$E$4:$E$211,T236)),T236))</f>
        <v>0 vs WC 1</v>
      </c>
      <c r="I236" s="72"/>
      <c r="J236" s="72"/>
      <c r="K236" s="72">
        <f>IF(Schedules[[#This Row],[Player 2]]="",Schedules[[#This Row],[Player 1]],Schedules[[#This Row],[Player 1]]&amp;" / "&amp;Schedules[[#This Row],[Player 2]])</f>
        <v>0</v>
      </c>
      <c r="L236" s="72">
        <v>15</v>
      </c>
      <c r="M236" s="72" t="str">
        <f t="shared" si="45"/>
        <v>WIN</v>
      </c>
      <c r="N236" s="72"/>
      <c r="O236" s="72"/>
      <c r="P236" s="72">
        <f>IF(Schedules[[#This Row],[Player 4]]="",Schedules[[#This Row],[Player 3]],Schedules[[#This Row],[Player 3]]&amp;" / "&amp;Schedules[[#This Row],[Player 4]])</f>
        <v>0</v>
      </c>
      <c r="Q236" s="72">
        <v>10</v>
      </c>
      <c r="R236" s="72" t="str">
        <f t="shared" si="46"/>
        <v>LOST</v>
      </c>
      <c r="S236" s="61">
        <f>Input!P48</f>
        <v>0</v>
      </c>
      <c r="T236" s="61" t="str">
        <f>Input!Q48</f>
        <v>WC 1</v>
      </c>
    </row>
    <row r="237" spans="1:20" hidden="1" x14ac:dyDescent="0.3">
      <c r="A237" s="114" t="s">
        <v>56</v>
      </c>
      <c r="B237" s="68" t="str">
        <f t="shared" si="44"/>
        <v>Adda</v>
      </c>
      <c r="C237" s="69">
        <f>D236+TIME(0,3,0)</f>
        <v>0.84999999999999909</v>
      </c>
      <c r="D237" s="69">
        <f>C237+TIME(0,13,0)</f>
        <v>0.85902777777777684</v>
      </c>
      <c r="E237" s="68" t="s">
        <v>41</v>
      </c>
      <c r="F237" s="68">
        <f t="shared" si="51"/>
        <v>1</v>
      </c>
      <c r="G237" s="68" t="s">
        <v>422</v>
      </c>
      <c r="H237" s="68" t="str">
        <f ca="1">IF(OR(S237="",T237=""),"",IFERROR(_xludf.XLOOKUP(S237,'Registrations'!#REF!,'Registrations'!#REF!,_xludf.XLOOKUP(S237,'Registrations'!$B$4:$B$211,'Registrations'!$E$4:$E$211,S237)),S237) &amp; " vs " &amp; IFERROR(_xludf.XLOOKUP(T237,'Registrations'!#REF!,'Registrations'!#REF!,_xludf.XLOOKUP(T237,'Registrations'!$B$4:$B$211,'Registrations'!$E$4:$E$211,T237)),T237))</f>
        <v>0 vs 0</v>
      </c>
      <c r="I237" s="68"/>
      <c r="J237" s="68"/>
      <c r="K237" s="68">
        <f>IF(Schedules[[#This Row],[Player 2]]="",Schedules[[#This Row],[Player 1]],Schedules[[#This Row],[Player 1]]&amp;" / "&amp;Schedules[[#This Row],[Player 2]])</f>
        <v>0</v>
      </c>
      <c r="L237" s="68">
        <v>15</v>
      </c>
      <c r="M237" s="68" t="str">
        <f t="shared" si="45"/>
        <v>WIN</v>
      </c>
      <c r="N237" s="68"/>
      <c r="O237" s="68"/>
      <c r="P237" s="68">
        <f>IF(Schedules[[#This Row],[Player 4]]="",Schedules[[#This Row],[Player 3]],Schedules[[#This Row],[Player 3]]&amp;" / "&amp;Schedules[[#This Row],[Player 4]])</f>
        <v>0</v>
      </c>
      <c r="Q237" s="68">
        <v>10</v>
      </c>
      <c r="R237" s="68" t="str">
        <f t="shared" si="46"/>
        <v>LOST</v>
      </c>
      <c r="S237" s="61">
        <f>Input!T47</f>
        <v>0</v>
      </c>
      <c r="T237" s="61">
        <f>Input!U47</f>
        <v>0</v>
      </c>
    </row>
    <row r="238" spans="1:20" x14ac:dyDescent="0.3">
      <c r="A238" s="109" t="s">
        <v>66</v>
      </c>
      <c r="B238" s="78" t="s">
        <v>67</v>
      </c>
      <c r="C238" s="79">
        <v>46117.291666666657</v>
      </c>
      <c r="D238" s="79">
        <f>C238+TIME(0,10,0)</f>
        <v>46117.298611111102</v>
      </c>
      <c r="E238" s="78" t="s">
        <v>433</v>
      </c>
      <c r="F238" s="78">
        <v>1</v>
      </c>
      <c r="G238" s="78">
        <v>1</v>
      </c>
      <c r="H238" s="78" t="str">
        <f ca="1">IF(OR(S238="",T238=""),"",IFERROR(_xludf.XLOOKUP(S238,'Registrations'!#REF!,'Registrations'!#REF!,_xludf.XLOOKUP(S238,'Registrations'!$B$4:$B$211,'Registrations'!$E$4:$E$211,S238)),S238) &amp; " vs " &amp; IFERROR(_xludf.XLOOKUP(T238,'Registrations'!#REF!,'Registrations'!#REF!,_xludf.XLOOKUP(T238,'Registrations'!$B$4:$B$211,'Registrations'!$E$4:$E$211,T238)),T238))</f>
        <v>0 vs 0</v>
      </c>
      <c r="I238" s="78"/>
      <c r="J238" s="78"/>
      <c r="K238" s="78">
        <f>IF(Schedules[[#This Row],[Player 2]]="",Schedules[[#This Row],[Player 1]],Schedules[[#This Row],[Player 1]]&amp;" / "&amp;Schedules[[#This Row],[Player 2]])</f>
        <v>0</v>
      </c>
      <c r="L238" s="78">
        <v>15</v>
      </c>
      <c r="M238" s="78" t="str">
        <f t="shared" si="45"/>
        <v>WIN</v>
      </c>
      <c r="N238" s="78"/>
      <c r="O238" s="78"/>
      <c r="P238" s="78">
        <f>IF(Schedules[[#This Row],[Player 4]]="",Schedules[[#This Row],[Player 3]],Schedules[[#This Row],[Player 3]]&amp;" / "&amp;Schedules[[#This Row],[Player 4]])</f>
        <v>0</v>
      </c>
      <c r="Q238" s="78">
        <v>10</v>
      </c>
      <c r="R238" s="78" t="str">
        <f t="shared" si="46"/>
        <v>LOST</v>
      </c>
      <c r="S238" s="61">
        <f>Input!B58</f>
        <v>0</v>
      </c>
      <c r="T238" s="61">
        <f>Input!C58</f>
        <v>0</v>
      </c>
    </row>
    <row r="239" spans="1:20" x14ac:dyDescent="0.3">
      <c r="A239" s="109" t="s">
        <v>66</v>
      </c>
      <c r="B239" s="78" t="s">
        <v>67</v>
      </c>
      <c r="C239" s="79">
        <f>C238</f>
        <v>46117.291666666657</v>
      </c>
      <c r="D239" s="79">
        <f>D238</f>
        <v>46117.298611111102</v>
      </c>
      <c r="E239" s="78" t="str">
        <f t="shared" ref="E239:E255" si="52">$E$263</f>
        <v>Warm-up / Open Play</v>
      </c>
      <c r="F239" s="78">
        <v>2</v>
      </c>
      <c r="G239" s="78">
        <v>2</v>
      </c>
      <c r="H239" s="78" t="str">
        <f ca="1">IF(OR(S239="",T239=""),"",IFERROR(_xludf.XLOOKUP(S239,'Registrations'!#REF!,'Registrations'!#REF!,_xludf.XLOOKUP(S239,'Registrations'!$B$4:$B$211,'Registrations'!$E$4:$E$211,S239)),S239) &amp; " vs " &amp; IFERROR(_xludf.XLOOKUP(T239,'Registrations'!#REF!,'Registrations'!#REF!,_xludf.XLOOKUP(T239,'Registrations'!$B$4:$B$211,'Registrations'!$E$4:$E$211,T239)),T239))</f>
        <v>0 vs 0</v>
      </c>
      <c r="I239" s="78"/>
      <c r="J239" s="78"/>
      <c r="K239" s="78">
        <f>IF(Schedules[[#This Row],[Player 2]]="",Schedules[[#This Row],[Player 1]],Schedules[[#This Row],[Player 1]]&amp;" / "&amp;Schedules[[#This Row],[Player 2]])</f>
        <v>0</v>
      </c>
      <c r="L239" s="78">
        <v>15</v>
      </c>
      <c r="M239" s="78" t="str">
        <f t="shared" si="45"/>
        <v>WIN</v>
      </c>
      <c r="N239" s="78"/>
      <c r="O239" s="78"/>
      <c r="P239" s="78">
        <f>IF(Schedules[[#This Row],[Player 4]]="",Schedules[[#This Row],[Player 3]],Schedules[[#This Row],[Player 3]]&amp;" / "&amp;Schedules[[#This Row],[Player 4]])</f>
        <v>0</v>
      </c>
      <c r="Q239" s="78">
        <v>10</v>
      </c>
      <c r="R239" s="78" t="str">
        <f t="shared" si="46"/>
        <v>LOST</v>
      </c>
      <c r="S239" s="61">
        <f>Input!B59</f>
        <v>0</v>
      </c>
      <c r="T239" s="61">
        <f>Input!C59</f>
        <v>0</v>
      </c>
    </row>
    <row r="240" spans="1:20" x14ac:dyDescent="0.3">
      <c r="A240" s="109" t="s">
        <v>66</v>
      </c>
      <c r="B240" s="78" t="s">
        <v>67</v>
      </c>
      <c r="C240" s="79">
        <f>C239</f>
        <v>46117.291666666657</v>
      </c>
      <c r="D240" s="79">
        <f>D239</f>
        <v>46117.298611111102</v>
      </c>
      <c r="E240" s="78" t="str">
        <f t="shared" si="52"/>
        <v>Warm-up / Open Play</v>
      </c>
      <c r="F240" s="78">
        <v>3</v>
      </c>
      <c r="G240" s="78">
        <v>3</v>
      </c>
      <c r="H240" s="78" t="str">
        <f ca="1">IF(OR(S240="",T240=""),"",IFERROR(_xludf.XLOOKUP(S240,'Registrations'!#REF!,'Registrations'!#REF!,_xludf.XLOOKUP(S240,'Registrations'!$B$4:$B$211,'Registrations'!$E$4:$E$211,S240)),S240) &amp; " vs " &amp; IFERROR(_xludf.XLOOKUP(T240,'Registrations'!#REF!,'Registrations'!#REF!,_xludf.XLOOKUP(T240,'Registrations'!$B$4:$B$211,'Registrations'!$E$4:$E$211,T240)),T240))</f>
        <v>0 vs 0</v>
      </c>
      <c r="I240" s="78"/>
      <c r="J240" s="78"/>
      <c r="K240" s="78">
        <f>IF(Schedules[[#This Row],[Player 2]]="",Schedules[[#This Row],[Player 1]],Schedules[[#This Row],[Player 1]]&amp;" / "&amp;Schedules[[#This Row],[Player 2]])</f>
        <v>0</v>
      </c>
      <c r="L240" s="78">
        <v>15</v>
      </c>
      <c r="M240" s="78" t="str">
        <f t="shared" si="45"/>
        <v>WIN</v>
      </c>
      <c r="N240" s="78"/>
      <c r="O240" s="78"/>
      <c r="P240" s="78">
        <f>IF(Schedules[[#This Row],[Player 4]]="",Schedules[[#This Row],[Player 3]],Schedules[[#This Row],[Player 3]]&amp;" / "&amp;Schedules[[#This Row],[Player 4]])</f>
        <v>0</v>
      </c>
      <c r="Q240" s="78">
        <v>10</v>
      </c>
      <c r="R240" s="78" t="str">
        <f t="shared" si="46"/>
        <v>LOST</v>
      </c>
      <c r="S240" s="61">
        <f>Input!B60</f>
        <v>0</v>
      </c>
      <c r="T240" s="61">
        <f>Input!C60</f>
        <v>0</v>
      </c>
    </row>
    <row r="241" spans="1:20" x14ac:dyDescent="0.3">
      <c r="A241" s="109" t="s">
        <v>66</v>
      </c>
      <c r="B241" s="78" t="s">
        <v>67</v>
      </c>
      <c r="C241" s="79">
        <f>D240+TIME(0,3,0)</f>
        <v>46117.300694444435</v>
      </c>
      <c r="D241" s="79">
        <f>C241+TIME(0,10,0)</f>
        <v>46117.30763888888</v>
      </c>
      <c r="E241" s="78" t="str">
        <f t="shared" si="52"/>
        <v>Warm-up / Open Play</v>
      </c>
      <c r="F241" s="78">
        <f t="shared" ref="F241:G255" si="53">F238</f>
        <v>1</v>
      </c>
      <c r="G241" s="78">
        <f t="shared" si="53"/>
        <v>1</v>
      </c>
      <c r="H241" s="78" t="str">
        <f ca="1">IF(OR(S241="",T241=""),"",IFERROR(_xludf.XLOOKUP(S241,'Registrations'!#REF!,'Registrations'!#REF!,_xludf.XLOOKUP(S241,'Registrations'!$B$4:$B$211,'Registrations'!$E$4:$E$211,S241)),S241) &amp; " vs " &amp; IFERROR(_xludf.XLOOKUP(T241,'Registrations'!#REF!,'Registrations'!#REF!,_xludf.XLOOKUP(T241,'Registrations'!$B$4:$B$211,'Registrations'!$E$4:$E$211,T241)),T241))</f>
        <v>0 vs 0</v>
      </c>
      <c r="I241" s="78"/>
      <c r="J241" s="78"/>
      <c r="K241" s="78">
        <f>IF(Schedules[[#This Row],[Player 2]]="",Schedules[[#This Row],[Player 1]],Schedules[[#This Row],[Player 1]]&amp;" / "&amp;Schedules[[#This Row],[Player 2]])</f>
        <v>0</v>
      </c>
      <c r="L241" s="78">
        <v>15</v>
      </c>
      <c r="M241" s="78" t="str">
        <f t="shared" si="45"/>
        <v>WIN</v>
      </c>
      <c r="N241" s="78"/>
      <c r="O241" s="78"/>
      <c r="P241" s="78">
        <f>IF(Schedules[[#This Row],[Player 4]]="",Schedules[[#This Row],[Player 3]],Schedules[[#This Row],[Player 3]]&amp;" / "&amp;Schedules[[#This Row],[Player 4]])</f>
        <v>0</v>
      </c>
      <c r="Q241" s="78">
        <v>10</v>
      </c>
      <c r="R241" s="78" t="str">
        <f t="shared" si="46"/>
        <v>LOST</v>
      </c>
      <c r="S241" s="61">
        <f>Input!D58</f>
        <v>0</v>
      </c>
      <c r="T241" s="61">
        <f>Input!E58</f>
        <v>0</v>
      </c>
    </row>
    <row r="242" spans="1:20" x14ac:dyDescent="0.3">
      <c r="A242" s="109" t="s">
        <v>66</v>
      </c>
      <c r="B242" s="78" t="s">
        <v>67</v>
      </c>
      <c r="C242" s="79">
        <f>C241</f>
        <v>46117.300694444435</v>
      </c>
      <c r="D242" s="79">
        <f>D241</f>
        <v>46117.30763888888</v>
      </c>
      <c r="E242" s="78" t="str">
        <f t="shared" si="52"/>
        <v>Warm-up / Open Play</v>
      </c>
      <c r="F242" s="78">
        <f t="shared" si="53"/>
        <v>2</v>
      </c>
      <c r="G242" s="78">
        <f t="shared" si="53"/>
        <v>2</v>
      </c>
      <c r="H242" s="78" t="str">
        <f ca="1">IF(OR(S242="",T242=""),"",IFERROR(_xludf.XLOOKUP(S242,'Registrations'!#REF!,'Registrations'!#REF!,_xludf.XLOOKUP(S242,'Registrations'!$B$4:$B$211,'Registrations'!$E$4:$E$211,S242)),S242) &amp; " vs " &amp; IFERROR(_xludf.XLOOKUP(T242,'Registrations'!#REF!,'Registrations'!#REF!,_xludf.XLOOKUP(T242,'Registrations'!$B$4:$B$211,'Registrations'!$E$4:$E$211,T242)),T242))</f>
        <v>0 vs 0</v>
      </c>
      <c r="I242" s="78"/>
      <c r="J242" s="78"/>
      <c r="K242" s="78">
        <f>IF(Schedules[[#This Row],[Player 2]]="",Schedules[[#This Row],[Player 1]],Schedules[[#This Row],[Player 1]]&amp;" / "&amp;Schedules[[#This Row],[Player 2]])</f>
        <v>0</v>
      </c>
      <c r="L242" s="78">
        <v>15</v>
      </c>
      <c r="M242" s="78" t="str">
        <f t="shared" si="45"/>
        <v>WIN</v>
      </c>
      <c r="N242" s="78"/>
      <c r="O242" s="78"/>
      <c r="P242" s="78">
        <f>IF(Schedules[[#This Row],[Player 4]]="",Schedules[[#This Row],[Player 3]],Schedules[[#This Row],[Player 3]]&amp;" / "&amp;Schedules[[#This Row],[Player 4]])</f>
        <v>0</v>
      </c>
      <c r="Q242" s="78">
        <v>10</v>
      </c>
      <c r="R242" s="78" t="str">
        <f t="shared" si="46"/>
        <v>LOST</v>
      </c>
      <c r="S242" s="61">
        <f>Input!D59</f>
        <v>0</v>
      </c>
      <c r="T242" s="61">
        <f>Input!E59</f>
        <v>0</v>
      </c>
    </row>
    <row r="243" spans="1:20" x14ac:dyDescent="0.3">
      <c r="A243" s="109" t="s">
        <v>66</v>
      </c>
      <c r="B243" s="78" t="s">
        <v>67</v>
      </c>
      <c r="C243" s="79">
        <f>C242</f>
        <v>46117.300694444435</v>
      </c>
      <c r="D243" s="79">
        <f>D242</f>
        <v>46117.30763888888</v>
      </c>
      <c r="E243" s="78" t="str">
        <f t="shared" si="52"/>
        <v>Warm-up / Open Play</v>
      </c>
      <c r="F243" s="78">
        <f t="shared" si="53"/>
        <v>3</v>
      </c>
      <c r="G243" s="78">
        <f t="shared" si="53"/>
        <v>3</v>
      </c>
      <c r="H243" s="78" t="str">
        <f ca="1">IF(OR(S243="",T243=""),"",IFERROR(_xludf.XLOOKUP(S243,'Registrations'!#REF!,'Registrations'!#REF!,_xludf.XLOOKUP(S243,'Registrations'!$B$4:$B$211,'Registrations'!$E$4:$E$211,S243)),S243) &amp; " vs " &amp; IFERROR(_xludf.XLOOKUP(T243,'Registrations'!#REF!,'Registrations'!#REF!,_xludf.XLOOKUP(T243,'Registrations'!$B$4:$B$211,'Registrations'!$E$4:$E$211,T243)),T243))</f>
        <v>0 vs 0</v>
      </c>
      <c r="I243" s="78"/>
      <c r="J243" s="78"/>
      <c r="K243" s="78">
        <f>IF(Schedules[[#This Row],[Player 2]]="",Schedules[[#This Row],[Player 1]],Schedules[[#This Row],[Player 1]]&amp;" / "&amp;Schedules[[#This Row],[Player 2]])</f>
        <v>0</v>
      </c>
      <c r="L243" s="78">
        <v>15</v>
      </c>
      <c r="M243" s="78" t="str">
        <f t="shared" si="45"/>
        <v>WIN</v>
      </c>
      <c r="N243" s="78"/>
      <c r="O243" s="78"/>
      <c r="P243" s="78">
        <f>IF(Schedules[[#This Row],[Player 4]]="",Schedules[[#This Row],[Player 3]],Schedules[[#This Row],[Player 3]]&amp;" / "&amp;Schedules[[#This Row],[Player 4]])</f>
        <v>0</v>
      </c>
      <c r="Q243" s="78">
        <v>10</v>
      </c>
      <c r="R243" s="78" t="str">
        <f t="shared" si="46"/>
        <v>LOST</v>
      </c>
      <c r="S243" s="61">
        <f>Input!D60</f>
        <v>0</v>
      </c>
      <c r="T243" s="61">
        <f>Input!E60</f>
        <v>0</v>
      </c>
    </row>
    <row r="244" spans="1:20" x14ac:dyDescent="0.3">
      <c r="A244" s="109" t="s">
        <v>66</v>
      </c>
      <c r="B244" s="78" t="s">
        <v>67</v>
      </c>
      <c r="C244" s="79">
        <f>D243+TIME(0,3,0)</f>
        <v>46117.309722222213</v>
      </c>
      <c r="D244" s="79">
        <f>C244+TIME(0,10,0)</f>
        <v>46117.316666666658</v>
      </c>
      <c r="E244" s="78" t="str">
        <f t="shared" si="52"/>
        <v>Warm-up / Open Play</v>
      </c>
      <c r="F244" s="78">
        <f t="shared" si="53"/>
        <v>1</v>
      </c>
      <c r="G244" s="78">
        <f t="shared" si="53"/>
        <v>1</v>
      </c>
      <c r="H244" s="78" t="str">
        <f ca="1">IF(OR(S244="",T244=""),"",IFERROR(_xludf.XLOOKUP(S244,'Registrations'!#REF!,'Registrations'!#REF!,_xludf.XLOOKUP(S244,'Registrations'!$B$4:$B$211,'Registrations'!$E$4:$E$211,S244)),S244) &amp; " vs " &amp; IFERROR(_xludf.XLOOKUP(T244,'Registrations'!#REF!,'Registrations'!#REF!,_xludf.XLOOKUP(T244,'Registrations'!$B$4:$B$211,'Registrations'!$E$4:$E$211,T244)),T244))</f>
        <v>0 vs 0</v>
      </c>
      <c r="I244" s="78"/>
      <c r="J244" s="78"/>
      <c r="K244" s="78">
        <f>IF(Schedules[[#This Row],[Player 2]]="",Schedules[[#This Row],[Player 1]],Schedules[[#This Row],[Player 1]]&amp;" / "&amp;Schedules[[#This Row],[Player 2]])</f>
        <v>0</v>
      </c>
      <c r="L244" s="78">
        <v>15</v>
      </c>
      <c r="M244" s="78" t="str">
        <f t="shared" si="45"/>
        <v>WIN</v>
      </c>
      <c r="N244" s="78"/>
      <c r="O244" s="78"/>
      <c r="P244" s="78">
        <f>IF(Schedules[[#This Row],[Player 4]]="",Schedules[[#This Row],[Player 3]],Schedules[[#This Row],[Player 3]]&amp;" / "&amp;Schedules[[#This Row],[Player 4]])</f>
        <v>0</v>
      </c>
      <c r="Q244" s="78">
        <v>10</v>
      </c>
      <c r="R244" s="78" t="str">
        <f t="shared" si="46"/>
        <v>LOST</v>
      </c>
      <c r="S244" s="61">
        <f>Input!B58</f>
        <v>0</v>
      </c>
      <c r="T244" s="61">
        <f>Input!D58</f>
        <v>0</v>
      </c>
    </row>
    <row r="245" spans="1:20" x14ac:dyDescent="0.3">
      <c r="A245" s="109" t="s">
        <v>66</v>
      </c>
      <c r="B245" s="78" t="s">
        <v>67</v>
      </c>
      <c r="C245" s="79">
        <f>C244</f>
        <v>46117.309722222213</v>
      </c>
      <c r="D245" s="79">
        <f>D244</f>
        <v>46117.316666666658</v>
      </c>
      <c r="E245" s="78" t="str">
        <f t="shared" si="52"/>
        <v>Warm-up / Open Play</v>
      </c>
      <c r="F245" s="78">
        <f t="shared" si="53"/>
        <v>2</v>
      </c>
      <c r="G245" s="78">
        <f t="shared" si="53"/>
        <v>2</v>
      </c>
      <c r="H245" s="78" t="str">
        <f ca="1">IF(OR(S245="",T245=""),"",IFERROR(_xludf.XLOOKUP(S245,'Registrations'!#REF!,'Registrations'!#REF!,_xludf.XLOOKUP(S245,'Registrations'!$B$4:$B$211,'Registrations'!$E$4:$E$211,S245)),S245) &amp; " vs " &amp; IFERROR(_xludf.XLOOKUP(T245,'Registrations'!#REF!,'Registrations'!#REF!,_xludf.XLOOKUP(T245,'Registrations'!$B$4:$B$211,'Registrations'!$E$4:$E$211,T245)),T245))</f>
        <v>0 vs 0</v>
      </c>
      <c r="I245" s="78"/>
      <c r="J245" s="78"/>
      <c r="K245" s="78">
        <f>IF(Schedules[[#This Row],[Player 2]]="",Schedules[[#This Row],[Player 1]],Schedules[[#This Row],[Player 1]]&amp;" / "&amp;Schedules[[#This Row],[Player 2]])</f>
        <v>0</v>
      </c>
      <c r="L245" s="78">
        <v>15</v>
      </c>
      <c r="M245" s="78" t="str">
        <f t="shared" si="45"/>
        <v>WIN</v>
      </c>
      <c r="N245" s="78"/>
      <c r="O245" s="78"/>
      <c r="P245" s="78">
        <f>IF(Schedules[[#This Row],[Player 4]]="",Schedules[[#This Row],[Player 3]],Schedules[[#This Row],[Player 3]]&amp;" / "&amp;Schedules[[#This Row],[Player 4]])</f>
        <v>0</v>
      </c>
      <c r="Q245" s="78">
        <v>10</v>
      </c>
      <c r="R245" s="78" t="str">
        <f t="shared" si="46"/>
        <v>LOST</v>
      </c>
      <c r="S245" s="61">
        <f>Input!B59</f>
        <v>0</v>
      </c>
      <c r="T245" s="61">
        <f>Input!D59</f>
        <v>0</v>
      </c>
    </row>
    <row r="246" spans="1:20" x14ac:dyDescent="0.3">
      <c r="A246" s="109" t="s">
        <v>66</v>
      </c>
      <c r="B246" s="78" t="s">
        <v>67</v>
      </c>
      <c r="C246" s="79">
        <f>C245</f>
        <v>46117.309722222213</v>
      </c>
      <c r="D246" s="79">
        <f>D245</f>
        <v>46117.316666666658</v>
      </c>
      <c r="E246" s="78" t="str">
        <f t="shared" si="52"/>
        <v>Warm-up / Open Play</v>
      </c>
      <c r="F246" s="78">
        <f t="shared" si="53"/>
        <v>3</v>
      </c>
      <c r="G246" s="78">
        <f t="shared" si="53"/>
        <v>3</v>
      </c>
      <c r="H246" s="78" t="str">
        <f ca="1">IF(OR(S246="",T246=""),"",IFERROR(_xludf.XLOOKUP(S246,'Registrations'!#REF!,'Registrations'!#REF!,_xludf.XLOOKUP(S246,'Registrations'!$B$4:$B$211,'Registrations'!$E$4:$E$211,S246)),S246) &amp; " vs " &amp; IFERROR(_xludf.XLOOKUP(T246,'Registrations'!#REF!,'Registrations'!#REF!,_xludf.XLOOKUP(T246,'Registrations'!$B$4:$B$211,'Registrations'!$E$4:$E$211,T246)),T246))</f>
        <v>0 vs 0</v>
      </c>
      <c r="I246" s="78"/>
      <c r="J246" s="78"/>
      <c r="K246" s="78">
        <f>IF(Schedules[[#This Row],[Player 2]]="",Schedules[[#This Row],[Player 1]],Schedules[[#This Row],[Player 1]]&amp;" / "&amp;Schedules[[#This Row],[Player 2]])</f>
        <v>0</v>
      </c>
      <c r="L246" s="78">
        <v>15</v>
      </c>
      <c r="M246" s="78" t="str">
        <f t="shared" si="45"/>
        <v>WIN</v>
      </c>
      <c r="N246" s="78"/>
      <c r="O246" s="78"/>
      <c r="P246" s="78">
        <f>IF(Schedules[[#This Row],[Player 4]]="",Schedules[[#This Row],[Player 3]],Schedules[[#This Row],[Player 3]]&amp;" / "&amp;Schedules[[#This Row],[Player 4]])</f>
        <v>0</v>
      </c>
      <c r="Q246" s="78">
        <v>10</v>
      </c>
      <c r="R246" s="78" t="str">
        <f t="shared" si="46"/>
        <v>LOST</v>
      </c>
      <c r="S246" s="61">
        <f>Input!B60</f>
        <v>0</v>
      </c>
      <c r="T246" s="61">
        <f>Input!D60</f>
        <v>0</v>
      </c>
    </row>
    <row r="247" spans="1:20" x14ac:dyDescent="0.3">
      <c r="A247" s="109" t="s">
        <v>66</v>
      </c>
      <c r="B247" s="78" t="s">
        <v>67</v>
      </c>
      <c r="C247" s="79">
        <f>D246+TIME(0,3,0)</f>
        <v>46117.318749999991</v>
      </c>
      <c r="D247" s="79">
        <f>C247+TIME(0,10,0)</f>
        <v>46117.325694444437</v>
      </c>
      <c r="E247" s="78" t="str">
        <f t="shared" si="52"/>
        <v>Warm-up / Open Play</v>
      </c>
      <c r="F247" s="78">
        <f t="shared" si="53"/>
        <v>1</v>
      </c>
      <c r="G247" s="78">
        <f t="shared" si="53"/>
        <v>1</v>
      </c>
      <c r="H247" s="78" t="str">
        <f ca="1">IF(OR(S247="",T247=""),"",IFERROR(_xludf.XLOOKUP(S247,'Registrations'!#REF!,'Registrations'!#REF!,_xludf.XLOOKUP(S247,'Registrations'!$B$4:$B$211,'Registrations'!$E$4:$E$211,S247)),S247) &amp; " vs " &amp; IFERROR(_xludf.XLOOKUP(T247,'Registrations'!#REF!,'Registrations'!#REF!,_xludf.XLOOKUP(T247,'Registrations'!$B$4:$B$211,'Registrations'!$E$4:$E$211,T247)),T247))</f>
        <v>0 vs 0</v>
      </c>
      <c r="I247" s="78"/>
      <c r="J247" s="78"/>
      <c r="K247" s="78">
        <f>IF(Schedules[[#This Row],[Player 2]]="",Schedules[[#This Row],[Player 1]],Schedules[[#This Row],[Player 1]]&amp;" / "&amp;Schedules[[#This Row],[Player 2]])</f>
        <v>0</v>
      </c>
      <c r="L247" s="78">
        <v>15</v>
      </c>
      <c r="M247" s="78" t="str">
        <f t="shared" si="45"/>
        <v>WIN</v>
      </c>
      <c r="N247" s="78"/>
      <c r="O247" s="78"/>
      <c r="P247" s="78">
        <f>IF(Schedules[[#This Row],[Player 4]]="",Schedules[[#This Row],[Player 3]],Schedules[[#This Row],[Player 3]]&amp;" / "&amp;Schedules[[#This Row],[Player 4]])</f>
        <v>0</v>
      </c>
      <c r="Q247" s="78">
        <v>10</v>
      </c>
      <c r="R247" s="78" t="str">
        <f t="shared" si="46"/>
        <v>LOST</v>
      </c>
      <c r="S247" s="61">
        <f>Input!C58</f>
        <v>0</v>
      </c>
      <c r="T247" s="61">
        <f>Input!E58</f>
        <v>0</v>
      </c>
    </row>
    <row r="248" spans="1:20" x14ac:dyDescent="0.3">
      <c r="A248" s="109" t="s">
        <v>66</v>
      </c>
      <c r="B248" s="78" t="s">
        <v>67</v>
      </c>
      <c r="C248" s="79">
        <f>C247</f>
        <v>46117.318749999991</v>
      </c>
      <c r="D248" s="79">
        <f>D247</f>
        <v>46117.325694444437</v>
      </c>
      <c r="E248" s="78" t="str">
        <f t="shared" si="52"/>
        <v>Warm-up / Open Play</v>
      </c>
      <c r="F248" s="78">
        <f t="shared" si="53"/>
        <v>2</v>
      </c>
      <c r="G248" s="78">
        <f t="shared" si="53"/>
        <v>2</v>
      </c>
      <c r="H248" s="78" t="str">
        <f ca="1">IF(OR(S248="",T248=""),"",IFERROR(_xludf.XLOOKUP(S248,'Registrations'!#REF!,'Registrations'!#REF!,_xludf.XLOOKUP(S248,'Registrations'!$B$4:$B$211,'Registrations'!$E$4:$E$211,S248)),S248) &amp; " vs " &amp; IFERROR(_xludf.XLOOKUP(T248,'Registrations'!#REF!,'Registrations'!#REF!,_xludf.XLOOKUP(T248,'Registrations'!$B$4:$B$211,'Registrations'!$E$4:$E$211,T248)),T248))</f>
        <v>0 vs 0</v>
      </c>
      <c r="I248" s="78"/>
      <c r="J248" s="78"/>
      <c r="K248" s="78">
        <f>IF(Schedules[[#This Row],[Player 2]]="",Schedules[[#This Row],[Player 1]],Schedules[[#This Row],[Player 1]]&amp;" / "&amp;Schedules[[#This Row],[Player 2]])</f>
        <v>0</v>
      </c>
      <c r="L248" s="78">
        <v>15</v>
      </c>
      <c r="M248" s="78" t="str">
        <f t="shared" si="45"/>
        <v>WIN</v>
      </c>
      <c r="N248" s="78"/>
      <c r="O248" s="78"/>
      <c r="P248" s="78">
        <f>IF(Schedules[[#This Row],[Player 4]]="",Schedules[[#This Row],[Player 3]],Schedules[[#This Row],[Player 3]]&amp;" / "&amp;Schedules[[#This Row],[Player 4]])</f>
        <v>0</v>
      </c>
      <c r="Q248" s="78">
        <v>10</v>
      </c>
      <c r="R248" s="78" t="str">
        <f t="shared" si="46"/>
        <v>LOST</v>
      </c>
      <c r="S248" s="61">
        <f>Input!C59</f>
        <v>0</v>
      </c>
      <c r="T248" s="61">
        <f>Input!E59</f>
        <v>0</v>
      </c>
    </row>
    <row r="249" spans="1:20" x14ac:dyDescent="0.3">
      <c r="A249" s="109" t="s">
        <v>66</v>
      </c>
      <c r="B249" s="78" t="s">
        <v>67</v>
      </c>
      <c r="C249" s="79">
        <f>C248</f>
        <v>46117.318749999991</v>
      </c>
      <c r="D249" s="79">
        <f>D248</f>
        <v>46117.325694444437</v>
      </c>
      <c r="E249" s="78" t="str">
        <f t="shared" si="52"/>
        <v>Warm-up / Open Play</v>
      </c>
      <c r="F249" s="78">
        <f t="shared" si="53"/>
        <v>3</v>
      </c>
      <c r="G249" s="78">
        <f t="shared" si="53"/>
        <v>3</v>
      </c>
      <c r="H249" s="78" t="str">
        <f ca="1">IF(OR(S249="",T249=""),"",IFERROR(_xludf.XLOOKUP(S249,'Registrations'!#REF!,'Registrations'!#REF!,_xludf.XLOOKUP(S249,'Registrations'!$B$4:$B$211,'Registrations'!$E$4:$E$211,S249)),S249) &amp; " vs " &amp; IFERROR(_xludf.XLOOKUP(T249,'Registrations'!#REF!,'Registrations'!#REF!,_xludf.XLOOKUP(T249,'Registrations'!$B$4:$B$211,'Registrations'!$E$4:$E$211,T249)),T249))</f>
        <v>0 vs 0</v>
      </c>
      <c r="I249" s="78"/>
      <c r="J249" s="78"/>
      <c r="K249" s="78">
        <f>IF(Schedules[[#This Row],[Player 2]]="",Schedules[[#This Row],[Player 1]],Schedules[[#This Row],[Player 1]]&amp;" / "&amp;Schedules[[#This Row],[Player 2]])</f>
        <v>0</v>
      </c>
      <c r="L249" s="78">
        <v>15</v>
      </c>
      <c r="M249" s="78" t="str">
        <f t="shared" si="45"/>
        <v>WIN</v>
      </c>
      <c r="N249" s="78"/>
      <c r="O249" s="78"/>
      <c r="P249" s="78">
        <f>IF(Schedules[[#This Row],[Player 4]]="",Schedules[[#This Row],[Player 3]],Schedules[[#This Row],[Player 3]]&amp;" / "&amp;Schedules[[#This Row],[Player 4]])</f>
        <v>0</v>
      </c>
      <c r="Q249" s="78">
        <v>10</v>
      </c>
      <c r="R249" s="78" t="str">
        <f t="shared" si="46"/>
        <v>LOST</v>
      </c>
      <c r="S249" s="61">
        <f>Input!C60</f>
        <v>0</v>
      </c>
      <c r="T249" s="61">
        <f>Input!E60</f>
        <v>0</v>
      </c>
    </row>
    <row r="250" spans="1:20" x14ac:dyDescent="0.3">
      <c r="A250" s="109" t="s">
        <v>66</v>
      </c>
      <c r="B250" s="78" t="s">
        <v>67</v>
      </c>
      <c r="C250" s="79">
        <f>D249+TIME(0,3,0)</f>
        <v>46117.327777777769</v>
      </c>
      <c r="D250" s="79">
        <f>C250+TIME(0,10,0)</f>
        <v>46117.334722222215</v>
      </c>
      <c r="E250" s="78" t="str">
        <f t="shared" si="52"/>
        <v>Warm-up / Open Play</v>
      </c>
      <c r="F250" s="78">
        <f t="shared" si="53"/>
        <v>1</v>
      </c>
      <c r="G250" s="78">
        <f t="shared" si="53"/>
        <v>1</v>
      </c>
      <c r="H250" s="78" t="str">
        <f ca="1">IF(OR(S250="",T250=""),"",IFERROR(_xludf.XLOOKUP(S250,'Registrations'!#REF!,'Registrations'!#REF!,_xludf.XLOOKUP(S250,'Registrations'!$B$4:$B$211,'Registrations'!$E$4:$E$211,S250)),S250) &amp; " vs " &amp; IFERROR(_xludf.XLOOKUP(T250,'Registrations'!#REF!,'Registrations'!#REF!,_xludf.XLOOKUP(T250,'Registrations'!$B$4:$B$211,'Registrations'!$E$4:$E$211,T250)),T250))</f>
        <v>0 vs 0</v>
      </c>
      <c r="I250" s="78"/>
      <c r="J250" s="78"/>
      <c r="K250" s="78">
        <f>IF(Schedules[[#This Row],[Player 2]]="",Schedules[[#This Row],[Player 1]],Schedules[[#This Row],[Player 1]]&amp;" / "&amp;Schedules[[#This Row],[Player 2]])</f>
        <v>0</v>
      </c>
      <c r="L250" s="78">
        <v>15</v>
      </c>
      <c r="M250" s="78" t="str">
        <f t="shared" si="45"/>
        <v>WIN</v>
      </c>
      <c r="N250" s="78"/>
      <c r="O250" s="78"/>
      <c r="P250" s="78">
        <f>IF(Schedules[[#This Row],[Player 4]]="",Schedules[[#This Row],[Player 3]],Schedules[[#This Row],[Player 3]]&amp;" / "&amp;Schedules[[#This Row],[Player 4]])</f>
        <v>0</v>
      </c>
      <c r="Q250" s="78">
        <v>10</v>
      </c>
      <c r="R250" s="78" t="str">
        <f t="shared" si="46"/>
        <v>LOST</v>
      </c>
      <c r="S250" s="61">
        <f>Input!B58</f>
        <v>0</v>
      </c>
      <c r="T250" s="61">
        <f>Input!E58</f>
        <v>0</v>
      </c>
    </row>
    <row r="251" spans="1:20" x14ac:dyDescent="0.3">
      <c r="A251" s="109" t="s">
        <v>66</v>
      </c>
      <c r="B251" s="78" t="s">
        <v>67</v>
      </c>
      <c r="C251" s="79">
        <f>C250</f>
        <v>46117.327777777769</v>
      </c>
      <c r="D251" s="79">
        <f>D250</f>
        <v>46117.334722222215</v>
      </c>
      <c r="E251" s="78" t="str">
        <f t="shared" si="52"/>
        <v>Warm-up / Open Play</v>
      </c>
      <c r="F251" s="78">
        <f t="shared" si="53"/>
        <v>2</v>
      </c>
      <c r="G251" s="78">
        <f t="shared" si="53"/>
        <v>2</v>
      </c>
      <c r="H251" s="78" t="str">
        <f ca="1">IF(OR(S251="",T251=""),"",IFERROR(_xludf.XLOOKUP(S251,'Registrations'!#REF!,'Registrations'!#REF!,_xludf.XLOOKUP(S251,'Registrations'!$B$4:$B$211,'Registrations'!$E$4:$E$211,S251)),S251) &amp; " vs " &amp; IFERROR(_xludf.XLOOKUP(T251,'Registrations'!#REF!,'Registrations'!#REF!,_xludf.XLOOKUP(T251,'Registrations'!$B$4:$B$211,'Registrations'!$E$4:$E$211,T251)),T251))</f>
        <v>0 vs 0</v>
      </c>
      <c r="I251" s="78"/>
      <c r="J251" s="78"/>
      <c r="K251" s="78">
        <f>IF(Schedules[[#This Row],[Player 2]]="",Schedules[[#This Row],[Player 1]],Schedules[[#This Row],[Player 1]]&amp;" / "&amp;Schedules[[#This Row],[Player 2]])</f>
        <v>0</v>
      </c>
      <c r="L251" s="78">
        <v>15</v>
      </c>
      <c r="M251" s="78" t="str">
        <f t="shared" si="45"/>
        <v>WIN</v>
      </c>
      <c r="N251" s="78"/>
      <c r="O251" s="78"/>
      <c r="P251" s="78">
        <f>IF(Schedules[[#This Row],[Player 4]]="",Schedules[[#This Row],[Player 3]],Schedules[[#This Row],[Player 3]]&amp;" / "&amp;Schedules[[#This Row],[Player 4]])</f>
        <v>0</v>
      </c>
      <c r="Q251" s="78">
        <v>10</v>
      </c>
      <c r="R251" s="78" t="str">
        <f t="shared" si="46"/>
        <v>LOST</v>
      </c>
      <c r="S251" s="61">
        <f>Input!B59</f>
        <v>0</v>
      </c>
      <c r="T251" s="61">
        <f>Input!E59</f>
        <v>0</v>
      </c>
    </row>
    <row r="252" spans="1:20" x14ac:dyDescent="0.3">
      <c r="A252" s="109" t="s">
        <v>66</v>
      </c>
      <c r="B252" s="78" t="s">
        <v>67</v>
      </c>
      <c r="C252" s="79">
        <f>C251</f>
        <v>46117.327777777769</v>
      </c>
      <c r="D252" s="79">
        <f>D251</f>
        <v>46117.334722222215</v>
      </c>
      <c r="E252" s="78" t="str">
        <f t="shared" si="52"/>
        <v>Warm-up / Open Play</v>
      </c>
      <c r="F252" s="78">
        <f t="shared" si="53"/>
        <v>3</v>
      </c>
      <c r="G252" s="78">
        <f t="shared" si="53"/>
        <v>3</v>
      </c>
      <c r="H252" s="78" t="str">
        <f ca="1">IF(OR(S252="",T252=""),"",IFERROR(_xludf.XLOOKUP(S252,'Registrations'!#REF!,'Registrations'!#REF!,_xludf.XLOOKUP(S252,'Registrations'!$B$4:$B$211,'Registrations'!$E$4:$E$211,S252)),S252) &amp; " vs " &amp; IFERROR(_xludf.XLOOKUP(T252,'Registrations'!#REF!,'Registrations'!#REF!,_xludf.XLOOKUP(T252,'Registrations'!$B$4:$B$211,'Registrations'!$E$4:$E$211,T252)),T252))</f>
        <v>0 vs 0</v>
      </c>
      <c r="I252" s="78"/>
      <c r="J252" s="78"/>
      <c r="K252" s="78">
        <f>IF(Schedules[[#This Row],[Player 2]]="",Schedules[[#This Row],[Player 1]],Schedules[[#This Row],[Player 1]]&amp;" / "&amp;Schedules[[#This Row],[Player 2]])</f>
        <v>0</v>
      </c>
      <c r="L252" s="78">
        <v>15</v>
      </c>
      <c r="M252" s="78" t="str">
        <f t="shared" si="45"/>
        <v>WIN</v>
      </c>
      <c r="N252" s="78"/>
      <c r="O252" s="78"/>
      <c r="P252" s="78">
        <f>IF(Schedules[[#This Row],[Player 4]]="",Schedules[[#This Row],[Player 3]],Schedules[[#This Row],[Player 3]]&amp;" / "&amp;Schedules[[#This Row],[Player 4]])</f>
        <v>0</v>
      </c>
      <c r="Q252" s="78">
        <v>10</v>
      </c>
      <c r="R252" s="78" t="str">
        <f t="shared" si="46"/>
        <v>LOST</v>
      </c>
      <c r="S252" s="61">
        <f>Input!B60</f>
        <v>0</v>
      </c>
      <c r="T252" s="61">
        <f>Input!E60</f>
        <v>0</v>
      </c>
    </row>
    <row r="253" spans="1:20" x14ac:dyDescent="0.3">
      <c r="A253" s="109" t="s">
        <v>66</v>
      </c>
      <c r="B253" s="78" t="s">
        <v>67</v>
      </c>
      <c r="C253" s="79">
        <f>D252+TIME(0,3,0)</f>
        <v>46117.336805555547</v>
      </c>
      <c r="D253" s="79">
        <f>C253+TIME(0,10,0)</f>
        <v>46117.343749999993</v>
      </c>
      <c r="E253" s="78" t="str">
        <f t="shared" si="52"/>
        <v>Warm-up / Open Play</v>
      </c>
      <c r="F253" s="78">
        <f t="shared" si="53"/>
        <v>1</v>
      </c>
      <c r="G253" s="78">
        <f t="shared" si="53"/>
        <v>1</v>
      </c>
      <c r="H253" s="78" t="str">
        <f ca="1">IF(OR(S253="",T253=""),"",IFERROR(_xludf.XLOOKUP(S253,'Registrations'!#REF!,'Registrations'!#REF!,_xludf.XLOOKUP(S253,'Registrations'!$B$4:$B$211,'Registrations'!$E$4:$E$211,S253)),S253) &amp; " vs " &amp; IFERROR(_xludf.XLOOKUP(T253,'Registrations'!#REF!,'Registrations'!#REF!,_xludf.XLOOKUP(T253,'Registrations'!$B$4:$B$211,'Registrations'!$E$4:$E$211,T253)),T253))</f>
        <v>0 vs 0</v>
      </c>
      <c r="I253" s="78"/>
      <c r="J253" s="78"/>
      <c r="K253" s="78">
        <f>IF(Schedules[[#This Row],[Player 2]]="",Schedules[[#This Row],[Player 1]],Schedules[[#This Row],[Player 1]]&amp;" / "&amp;Schedules[[#This Row],[Player 2]])</f>
        <v>0</v>
      </c>
      <c r="L253" s="78">
        <v>15</v>
      </c>
      <c r="M253" s="78" t="str">
        <f t="shared" si="45"/>
        <v>WIN</v>
      </c>
      <c r="N253" s="78"/>
      <c r="O253" s="78"/>
      <c r="P253" s="78">
        <f>IF(Schedules[[#This Row],[Player 4]]="",Schedules[[#This Row],[Player 3]],Schedules[[#This Row],[Player 3]]&amp;" / "&amp;Schedules[[#This Row],[Player 4]])</f>
        <v>0</v>
      </c>
      <c r="Q253" s="78">
        <v>10</v>
      </c>
      <c r="R253" s="78" t="str">
        <f t="shared" si="46"/>
        <v>LOST</v>
      </c>
      <c r="S253" s="61">
        <f>Input!C58</f>
        <v>0</v>
      </c>
      <c r="T253" s="61">
        <f>Input!D58</f>
        <v>0</v>
      </c>
    </row>
    <row r="254" spans="1:20" x14ac:dyDescent="0.3">
      <c r="A254" s="109" t="s">
        <v>66</v>
      </c>
      <c r="B254" s="78" t="s">
        <v>67</v>
      </c>
      <c r="C254" s="79">
        <f>C253</f>
        <v>46117.336805555547</v>
      </c>
      <c r="D254" s="79">
        <f>D253</f>
        <v>46117.343749999993</v>
      </c>
      <c r="E254" s="78" t="str">
        <f t="shared" si="52"/>
        <v>Warm-up / Open Play</v>
      </c>
      <c r="F254" s="78">
        <f t="shared" si="53"/>
        <v>2</v>
      </c>
      <c r="G254" s="78">
        <f t="shared" si="53"/>
        <v>2</v>
      </c>
      <c r="H254" s="78" t="str">
        <f ca="1">IF(OR(S254="",T254=""),"",IFERROR(_xludf.XLOOKUP(S254,'Registrations'!#REF!,'Registrations'!#REF!,_xludf.XLOOKUP(S254,'Registrations'!$B$4:$B$211,'Registrations'!$E$4:$E$211,S254)),S254) &amp; " vs " &amp; IFERROR(_xludf.XLOOKUP(T254,'Registrations'!#REF!,'Registrations'!#REF!,_xludf.XLOOKUP(T254,'Registrations'!$B$4:$B$211,'Registrations'!$E$4:$E$211,T254)),T254))</f>
        <v>0 vs 0</v>
      </c>
      <c r="I254" s="78"/>
      <c r="J254" s="78"/>
      <c r="K254" s="78">
        <f>IF(Schedules[[#This Row],[Player 2]]="",Schedules[[#This Row],[Player 1]],Schedules[[#This Row],[Player 1]]&amp;" / "&amp;Schedules[[#This Row],[Player 2]])</f>
        <v>0</v>
      </c>
      <c r="L254" s="78">
        <v>15</v>
      </c>
      <c r="M254" s="78" t="str">
        <f t="shared" si="45"/>
        <v>WIN</v>
      </c>
      <c r="N254" s="78"/>
      <c r="O254" s="78"/>
      <c r="P254" s="78">
        <f>IF(Schedules[[#This Row],[Player 4]]="",Schedules[[#This Row],[Player 3]],Schedules[[#This Row],[Player 3]]&amp;" / "&amp;Schedules[[#This Row],[Player 4]])</f>
        <v>0</v>
      </c>
      <c r="Q254" s="78">
        <v>10</v>
      </c>
      <c r="R254" s="78" t="str">
        <f t="shared" si="46"/>
        <v>LOST</v>
      </c>
      <c r="S254" s="61">
        <f>Input!C59</f>
        <v>0</v>
      </c>
      <c r="T254" s="61">
        <f>Input!D59</f>
        <v>0</v>
      </c>
    </row>
    <row r="255" spans="1:20" x14ac:dyDescent="0.3">
      <c r="A255" s="109" t="s">
        <v>66</v>
      </c>
      <c r="B255" s="78" t="s">
        <v>67</v>
      </c>
      <c r="C255" s="79">
        <f>C254</f>
        <v>46117.336805555547</v>
      </c>
      <c r="D255" s="79">
        <f>D254</f>
        <v>46117.343749999993</v>
      </c>
      <c r="E255" s="78" t="str">
        <f t="shared" si="52"/>
        <v>Warm-up / Open Play</v>
      </c>
      <c r="F255" s="78">
        <f t="shared" si="53"/>
        <v>3</v>
      </c>
      <c r="G255" s="78">
        <f t="shared" si="53"/>
        <v>3</v>
      </c>
      <c r="H255" s="78" t="str">
        <f ca="1">IF(OR(S255="",T255=""),"",IFERROR(_xludf.XLOOKUP(S255,'Registrations'!#REF!,'Registrations'!#REF!,_xludf.XLOOKUP(S255,'Registrations'!$B$4:$B$211,'Registrations'!$E$4:$E$211,S255)),S255) &amp; " vs " &amp; IFERROR(_xludf.XLOOKUP(T255,'Registrations'!#REF!,'Registrations'!#REF!,_xludf.XLOOKUP(T255,'Registrations'!$B$4:$B$211,'Registrations'!$E$4:$E$211,T255)),T255))</f>
        <v>0 vs 0</v>
      </c>
      <c r="I255" s="78"/>
      <c r="J255" s="78"/>
      <c r="K255" s="78">
        <f>IF(Schedules[[#This Row],[Player 2]]="",Schedules[[#This Row],[Player 1]],Schedules[[#This Row],[Player 1]]&amp;" / "&amp;Schedules[[#This Row],[Player 2]])</f>
        <v>0</v>
      </c>
      <c r="L255" s="78">
        <v>15</v>
      </c>
      <c r="M255" s="78" t="str">
        <f t="shared" si="45"/>
        <v>WIN</v>
      </c>
      <c r="N255" s="78"/>
      <c r="O255" s="78"/>
      <c r="P255" s="78">
        <f>IF(Schedules[[#This Row],[Player 4]]="",Schedules[[#This Row],[Player 3]],Schedules[[#This Row],[Player 3]]&amp;" / "&amp;Schedules[[#This Row],[Player 4]])</f>
        <v>0</v>
      </c>
      <c r="Q255" s="78">
        <v>10</v>
      </c>
      <c r="R255" s="78" t="str">
        <f t="shared" si="46"/>
        <v>LOST</v>
      </c>
      <c r="S255" s="61">
        <f>Input!C60</f>
        <v>0</v>
      </c>
      <c r="T255" s="61">
        <f>Input!D60</f>
        <v>0</v>
      </c>
    </row>
    <row r="256" spans="1:20" x14ac:dyDescent="0.3">
      <c r="A256" s="111" t="s">
        <v>66</v>
      </c>
      <c r="B256" s="74" t="s">
        <v>67</v>
      </c>
      <c r="C256" s="75">
        <f>D255+TIME(0,3,0)</f>
        <v>46117.345833333326</v>
      </c>
      <c r="D256" s="75">
        <f>C256+TIME(0,10,0)</f>
        <v>46117.352777777771</v>
      </c>
      <c r="E256" s="74" t="s">
        <v>40</v>
      </c>
      <c r="F256" s="74">
        <f t="shared" ref="F256:F287" si="54">F253</f>
        <v>1</v>
      </c>
      <c r="G256" s="74" t="s">
        <v>443</v>
      </c>
      <c r="H256" s="74" t="str">
        <f ca="1">IF(OR(S256="",T256=""),"",IFERROR(_xludf.XLOOKUP(S256,'Registrations'!#REF!,'Registrations'!#REF!,_xludf.XLOOKUP(S256,'Registrations'!$B$4:$B$211,'Registrations'!$E$4:$E$211,S256)),S256) &amp; " vs " &amp; IFERROR(_xludf.XLOOKUP(T256,'Registrations'!#REF!,'Registrations'!#REF!,_xludf.XLOOKUP(T256,'Registrations'!$B$4:$B$211,'Registrations'!$E$4:$E$211,T256)),T256))</f>
        <v>0 vs 0</v>
      </c>
      <c r="I256" s="74"/>
      <c r="J256" s="74"/>
      <c r="K256" s="74">
        <f>IF(Schedules[[#This Row],[Player 2]]="",Schedules[[#This Row],[Player 1]],Schedules[[#This Row],[Player 1]]&amp;" / "&amp;Schedules[[#This Row],[Player 2]])</f>
        <v>0</v>
      </c>
      <c r="L256" s="74">
        <v>15</v>
      </c>
      <c r="M256" s="74" t="str">
        <f t="shared" si="45"/>
        <v>WIN</v>
      </c>
      <c r="N256" s="74"/>
      <c r="O256" s="74"/>
      <c r="P256" s="74">
        <f>IF(Schedules[[#This Row],[Player 4]]="",Schedules[[#This Row],[Player 3]],Schedules[[#This Row],[Player 3]]&amp;" / "&amp;Schedules[[#This Row],[Player 4]])</f>
        <v>0</v>
      </c>
      <c r="Q256" s="74">
        <v>10</v>
      </c>
      <c r="R256" s="74" t="str">
        <f t="shared" si="46"/>
        <v>LOST</v>
      </c>
      <c r="S256" s="61">
        <f>Input!H58</f>
        <v>0</v>
      </c>
      <c r="T256" s="61">
        <f>Input!I58</f>
        <v>0</v>
      </c>
    </row>
    <row r="257" spans="1:20" x14ac:dyDescent="0.3">
      <c r="A257" s="111" t="s">
        <v>66</v>
      </c>
      <c r="B257" s="74" t="s">
        <v>67</v>
      </c>
      <c r="C257" s="75">
        <f>C256</f>
        <v>46117.345833333326</v>
      </c>
      <c r="D257" s="75">
        <f>D256</f>
        <v>46117.352777777771</v>
      </c>
      <c r="E257" s="74" t="str">
        <f>$E$275</f>
        <v>Group</v>
      </c>
      <c r="F257" s="74">
        <f t="shared" si="54"/>
        <v>2</v>
      </c>
      <c r="G257" s="74" t="s">
        <v>442</v>
      </c>
      <c r="H257" s="74" t="str">
        <f ca="1">IF(OR(S257="",T257=""),"",IFERROR(_xludf.XLOOKUP(S257,'Registrations'!#REF!,'Registrations'!#REF!,_xludf.XLOOKUP(S257,'Registrations'!$B$4:$B$211,'Registrations'!$E$4:$E$211,S257)),S257) &amp; " vs " &amp; IFERROR(_xludf.XLOOKUP(T257,'Registrations'!#REF!,'Registrations'!#REF!,_xludf.XLOOKUP(T257,'Registrations'!$B$4:$B$211,'Registrations'!$E$4:$E$211,T257)),T257))</f>
        <v>0 vs 0</v>
      </c>
      <c r="I257" s="74"/>
      <c r="J257" s="74"/>
      <c r="K257" s="74">
        <f>IF(Schedules[[#This Row],[Player 2]]="",Schedules[[#This Row],[Player 1]],Schedules[[#This Row],[Player 1]]&amp;" / "&amp;Schedules[[#This Row],[Player 2]])</f>
        <v>0</v>
      </c>
      <c r="L257" s="74">
        <v>15</v>
      </c>
      <c r="M257" s="74" t="str">
        <f t="shared" si="45"/>
        <v>WIN</v>
      </c>
      <c r="N257" s="74"/>
      <c r="O257" s="74"/>
      <c r="P257" s="74">
        <f>IF(Schedules[[#This Row],[Player 4]]="",Schedules[[#This Row],[Player 3]],Schedules[[#This Row],[Player 3]]&amp;" / "&amp;Schedules[[#This Row],[Player 4]])</f>
        <v>0</v>
      </c>
      <c r="Q257" s="74">
        <v>10</v>
      </c>
      <c r="R257" s="74" t="str">
        <f t="shared" si="46"/>
        <v>LOST</v>
      </c>
      <c r="S257" s="61">
        <f>Input!H59</f>
        <v>0</v>
      </c>
      <c r="T257" s="61">
        <f>Input!I59</f>
        <v>0</v>
      </c>
    </row>
    <row r="258" spans="1:20" x14ac:dyDescent="0.3">
      <c r="A258" s="111" t="s">
        <v>66</v>
      </c>
      <c r="B258" s="74" t="s">
        <v>67</v>
      </c>
      <c r="C258" s="75">
        <f>C257</f>
        <v>46117.345833333326</v>
      </c>
      <c r="D258" s="75">
        <f>D257</f>
        <v>46117.352777777771</v>
      </c>
      <c r="E258" s="74" t="s">
        <v>433</v>
      </c>
      <c r="F258" s="74">
        <f t="shared" si="54"/>
        <v>3</v>
      </c>
      <c r="G258" s="74" t="s">
        <v>441</v>
      </c>
      <c r="H258" s="74" t="str">
        <f ca="1">IF(OR(S258="",T258=""),"",IFERROR(_xludf.XLOOKUP(S258,'Registrations'!#REF!,'Registrations'!#REF!,_xludf.XLOOKUP(S258,'Registrations'!$B$4:$B$211,'Registrations'!$E$4:$E$211,S258)),S258) &amp; " vs " &amp; IFERROR(_xludf.XLOOKUP(T258,'Registrations'!#REF!,'Registrations'!#REF!,_xludf.XLOOKUP(T258,'Registrations'!$B$4:$B$211,'Registrations'!$E$4:$E$211,T258)),T258))</f>
        <v>0 vs 0</v>
      </c>
      <c r="I258" s="74"/>
      <c r="J258" s="74"/>
      <c r="K258" s="74">
        <f>IF(Schedules[[#This Row],[Player 2]]="",Schedules[[#This Row],[Player 1]],Schedules[[#This Row],[Player 1]]&amp;" / "&amp;Schedules[[#This Row],[Player 2]])</f>
        <v>0</v>
      </c>
      <c r="L258" s="74">
        <v>15</v>
      </c>
      <c r="M258" s="74" t="str">
        <f t="shared" si="45"/>
        <v>WIN</v>
      </c>
      <c r="N258" s="74"/>
      <c r="O258" s="74"/>
      <c r="P258" s="74">
        <f>IF(Schedules[[#This Row],[Player 4]]="",Schedules[[#This Row],[Player 3]],Schedules[[#This Row],[Player 3]]&amp;" / "&amp;Schedules[[#This Row],[Player 4]])</f>
        <v>0</v>
      </c>
      <c r="Q258" s="74">
        <v>10</v>
      </c>
      <c r="R258" s="74" t="str">
        <f t="shared" si="46"/>
        <v>LOST</v>
      </c>
      <c r="S258" s="61">
        <f>Input!H60</f>
        <v>0</v>
      </c>
      <c r="T258" s="61">
        <f>Input!I60</f>
        <v>0</v>
      </c>
    </row>
    <row r="259" spans="1:20" x14ac:dyDescent="0.3">
      <c r="A259" s="113" t="s">
        <v>66</v>
      </c>
      <c r="B259" s="72" t="s">
        <v>67</v>
      </c>
      <c r="C259" s="73">
        <f>D258+TIME(0,3,0)</f>
        <v>46117.354861111104</v>
      </c>
      <c r="D259" s="73">
        <f>C259+TIME(0,10,0)</f>
        <v>46117.361805555549</v>
      </c>
      <c r="E259" s="72" t="s">
        <v>427</v>
      </c>
      <c r="F259" s="72">
        <f t="shared" si="54"/>
        <v>1</v>
      </c>
      <c r="G259" s="72" t="s">
        <v>422</v>
      </c>
      <c r="H259" s="72" t="str">
        <f ca="1">IF(OR(S259="",T259=""),"",IFERROR(_xludf.XLOOKUP(S259,'Registrations'!#REF!,'Registrations'!#REF!,_xludf.XLOOKUP(S259,'Registrations'!$B$4:$B$211,'Registrations'!$E$4:$E$211,S259)),S259) &amp; " vs " &amp; IFERROR(_xludf.XLOOKUP(T259,'Registrations'!#REF!,'Registrations'!#REF!,_xludf.XLOOKUP(T259,'Registrations'!$B$4:$B$211,'Registrations'!$E$4:$E$211,T259)),T259))</f>
        <v>0 vs 0</v>
      </c>
      <c r="I259" s="72"/>
      <c r="J259" s="72"/>
      <c r="K259" s="72">
        <f>IF(Schedules[[#This Row],[Player 2]]="",Schedules[[#This Row],[Player 1]],Schedules[[#This Row],[Player 1]]&amp;" / "&amp;Schedules[[#This Row],[Player 2]])</f>
        <v>0</v>
      </c>
      <c r="L259" s="72">
        <v>15</v>
      </c>
      <c r="M259" s="72" t="str">
        <f t="shared" si="45"/>
        <v>WIN</v>
      </c>
      <c r="N259" s="72"/>
      <c r="O259" s="72"/>
      <c r="P259" s="72">
        <f>IF(Schedules[[#This Row],[Player 4]]="",Schedules[[#This Row],[Player 3]],Schedules[[#This Row],[Player 3]]&amp;" / "&amp;Schedules[[#This Row],[Player 4]])</f>
        <v>0</v>
      </c>
      <c r="Q259" s="72">
        <v>10</v>
      </c>
      <c r="R259" s="72" t="str">
        <f t="shared" si="46"/>
        <v>LOST</v>
      </c>
      <c r="S259" s="61">
        <f>Input!L58</f>
        <v>0</v>
      </c>
      <c r="T259" s="61">
        <f>Input!M58</f>
        <v>0</v>
      </c>
    </row>
    <row r="260" spans="1:20" x14ac:dyDescent="0.3">
      <c r="A260" s="113" t="s">
        <v>66</v>
      </c>
      <c r="B260" s="72" t="s">
        <v>67</v>
      </c>
      <c r="C260" s="73">
        <f>C259</f>
        <v>46117.354861111104</v>
      </c>
      <c r="D260" s="73">
        <f>D259</f>
        <v>46117.361805555549</v>
      </c>
      <c r="E260" s="72" t="str">
        <f>$E$291</f>
        <v>Pre-Q</v>
      </c>
      <c r="F260" s="72">
        <f t="shared" si="54"/>
        <v>2</v>
      </c>
      <c r="G260" s="72" t="s">
        <v>440</v>
      </c>
      <c r="H260" s="72" t="str">
        <f ca="1">IF(OR(S260="",T260=""),"",IFERROR(_xludf.XLOOKUP(S260,'Registrations'!#REF!,'Registrations'!#REF!,_xludf.XLOOKUP(S260,'Registrations'!$B$4:$B$211,'Registrations'!$E$4:$E$211,S260)),S260) &amp; " vs " &amp; IFERROR(_xludf.XLOOKUP(T260,'Registrations'!#REF!,'Registrations'!#REF!,_xludf.XLOOKUP(T260,'Registrations'!$B$4:$B$211,'Registrations'!$E$4:$E$211,T260)),T260))</f>
        <v>0 vs WC 1</v>
      </c>
      <c r="I260" s="72"/>
      <c r="J260" s="72"/>
      <c r="K260" s="72">
        <f>IF(Schedules[[#This Row],[Player 2]]="",Schedules[[#This Row],[Player 1]],Schedules[[#This Row],[Player 1]]&amp;" / "&amp;Schedules[[#This Row],[Player 2]])</f>
        <v>0</v>
      </c>
      <c r="L260" s="72">
        <v>15</v>
      </c>
      <c r="M260" s="72" t="str">
        <f t="shared" si="45"/>
        <v>WIN</v>
      </c>
      <c r="N260" s="72"/>
      <c r="O260" s="72"/>
      <c r="P260" s="72">
        <f>IF(Schedules[[#This Row],[Player 4]]="",Schedules[[#This Row],[Player 3]],Schedules[[#This Row],[Player 3]]&amp;" / "&amp;Schedules[[#This Row],[Player 4]])</f>
        <v>0</v>
      </c>
      <c r="Q260" s="72">
        <v>10</v>
      </c>
      <c r="R260" s="72" t="str">
        <f t="shared" si="46"/>
        <v>LOST</v>
      </c>
      <c r="S260" s="61">
        <f>Input!L59</f>
        <v>0</v>
      </c>
      <c r="T260" s="61" t="str">
        <f>Input!M59</f>
        <v>WC 1</v>
      </c>
    </row>
    <row r="261" spans="1:20" x14ac:dyDescent="0.3">
      <c r="A261" s="112" t="s">
        <v>66</v>
      </c>
      <c r="B261" s="70" t="s">
        <v>67</v>
      </c>
      <c r="C261" s="71">
        <f>C260</f>
        <v>46117.354861111104</v>
      </c>
      <c r="D261" s="71">
        <f>D260</f>
        <v>46117.361805555549</v>
      </c>
      <c r="E261" s="70" t="s">
        <v>424</v>
      </c>
      <c r="F261" s="70">
        <f t="shared" si="54"/>
        <v>3</v>
      </c>
      <c r="G261" s="70"/>
      <c r="H261" s="70"/>
      <c r="I261" s="70"/>
      <c r="J261" s="70"/>
      <c r="K261" s="70">
        <f>IF(Schedules[[#This Row],[Player 2]]="",Schedules[[#This Row],[Player 1]],Schedules[[#This Row],[Player 1]]&amp;" / "&amp;Schedules[[#This Row],[Player 2]])</f>
        <v>0</v>
      </c>
      <c r="L261" s="70">
        <v>15</v>
      </c>
      <c r="M261" s="70" t="str">
        <f t="shared" si="45"/>
        <v>WIN</v>
      </c>
      <c r="N261" s="70"/>
      <c r="O261" s="70"/>
      <c r="P261" s="70">
        <f>IF(Schedules[[#This Row],[Player 4]]="",Schedules[[#This Row],[Player 3]],Schedules[[#This Row],[Player 3]]&amp;" / "&amp;Schedules[[#This Row],[Player 4]])</f>
        <v>0</v>
      </c>
      <c r="Q261" s="70">
        <v>10</v>
      </c>
      <c r="R261" s="70" t="str">
        <f t="shared" si="46"/>
        <v>LOST</v>
      </c>
      <c r="T261" s="61"/>
    </row>
    <row r="262" spans="1:20" x14ac:dyDescent="0.3">
      <c r="A262" s="114" t="s">
        <v>66</v>
      </c>
      <c r="B262" s="68" t="s">
        <v>67</v>
      </c>
      <c r="C262" s="69">
        <f>D261+TIME(0,3,0)</f>
        <v>46117.363888888882</v>
      </c>
      <c r="D262" s="69">
        <f>C262+TIME(0,10,0)</f>
        <v>46117.370833333327</v>
      </c>
      <c r="E262" s="68" t="s">
        <v>423</v>
      </c>
      <c r="F262" s="68">
        <f t="shared" si="54"/>
        <v>1</v>
      </c>
      <c r="G262" s="68" t="s">
        <v>422</v>
      </c>
      <c r="H262" s="68" t="str">
        <f ca="1">IF(OR(S262="",T262=""),"",IFERROR(_xludf.XLOOKUP(S262,'Registrations'!#REF!,'Registrations'!#REF!,_xludf.XLOOKUP(S262,'Registrations'!$B$4:$B$211,'Registrations'!$E$4:$E$211,S262)),S262) &amp; " vs " &amp; IFERROR(_xludf.XLOOKUP(T262,'Registrations'!#REF!,'Registrations'!#REF!,_xludf.XLOOKUP(T262,'Registrations'!$B$4:$B$211,'Registrations'!$E$4:$E$211,T262)),T262))</f>
        <v>0 vs 0</v>
      </c>
      <c r="I262" s="68"/>
      <c r="J262" s="68"/>
      <c r="K262" s="68">
        <f>IF(Schedules[[#This Row],[Player 2]]="",Schedules[[#This Row],[Player 1]],Schedules[[#This Row],[Player 1]]&amp;" / "&amp;Schedules[[#This Row],[Player 2]])</f>
        <v>0</v>
      </c>
      <c r="L262" s="68">
        <v>15</v>
      </c>
      <c r="M262" s="68" t="str">
        <f t="shared" si="45"/>
        <v>WIN</v>
      </c>
      <c r="N262" s="68"/>
      <c r="O262" s="68"/>
      <c r="P262" s="68">
        <f>IF(Schedules[[#This Row],[Player 4]]="",Schedules[[#This Row],[Player 3]],Schedules[[#This Row],[Player 3]]&amp;" / "&amp;Schedules[[#This Row],[Player 4]])</f>
        <v>0</v>
      </c>
      <c r="Q262" s="68">
        <v>10</v>
      </c>
      <c r="R262" s="68" t="str">
        <f t="shared" si="46"/>
        <v>LOST</v>
      </c>
      <c r="S262" s="61">
        <f>Input!P58</f>
        <v>0</v>
      </c>
      <c r="T262" s="61">
        <f>Input!Q58</f>
        <v>0</v>
      </c>
    </row>
    <row r="263" spans="1:20" x14ac:dyDescent="0.3">
      <c r="A263" s="112" t="s">
        <v>66</v>
      </c>
      <c r="B263" s="70" t="s">
        <v>67</v>
      </c>
      <c r="C263" s="71">
        <f>C262</f>
        <v>46117.363888888882</v>
      </c>
      <c r="D263" s="71">
        <f>D262</f>
        <v>46117.370833333327</v>
      </c>
      <c r="E263" s="70" t="s">
        <v>424</v>
      </c>
      <c r="F263" s="70">
        <f t="shared" si="54"/>
        <v>2</v>
      </c>
      <c r="G263" s="70">
        <v>1</v>
      </c>
      <c r="H263" s="70"/>
      <c r="I263" s="70"/>
      <c r="J263" s="70"/>
      <c r="K263" s="70">
        <f>IF(Schedules[[#This Row],[Player 2]]="",Schedules[[#This Row],[Player 1]],Schedules[[#This Row],[Player 1]]&amp;" / "&amp;Schedules[[#This Row],[Player 2]])</f>
        <v>0</v>
      </c>
      <c r="L263" s="70">
        <v>15</v>
      </c>
      <c r="M263" s="70" t="str">
        <f t="shared" si="45"/>
        <v>WIN</v>
      </c>
      <c r="N263" s="70"/>
      <c r="O263" s="70"/>
      <c r="P263" s="70">
        <f>IF(Schedules[[#This Row],[Player 4]]="",Schedules[[#This Row],[Player 3]],Schedules[[#This Row],[Player 3]]&amp;" / "&amp;Schedules[[#This Row],[Player 4]])</f>
        <v>0</v>
      </c>
      <c r="Q263" s="70">
        <v>10</v>
      </c>
      <c r="R263" s="70" t="str">
        <f t="shared" si="46"/>
        <v>LOST</v>
      </c>
      <c r="T263" s="61"/>
    </row>
    <row r="264" spans="1:20" x14ac:dyDescent="0.3">
      <c r="A264" s="112" t="s">
        <v>66</v>
      </c>
      <c r="B264" s="70" t="s">
        <v>67</v>
      </c>
      <c r="C264" s="71">
        <f>C263</f>
        <v>46117.363888888882</v>
      </c>
      <c r="D264" s="71">
        <f>D263</f>
        <v>46117.370833333327</v>
      </c>
      <c r="E264" s="70" t="s">
        <v>424</v>
      </c>
      <c r="F264" s="70">
        <f t="shared" si="54"/>
        <v>3</v>
      </c>
      <c r="G264" s="70">
        <v>2</v>
      </c>
      <c r="H264" s="70"/>
      <c r="I264" s="70"/>
      <c r="J264" s="70"/>
      <c r="K264" s="70">
        <f>IF(Schedules[[#This Row],[Player 2]]="",Schedules[[#This Row],[Player 1]],Schedules[[#This Row],[Player 1]]&amp;" / "&amp;Schedules[[#This Row],[Player 2]])</f>
        <v>0</v>
      </c>
      <c r="L264" s="70">
        <v>15</v>
      </c>
      <c r="M264" s="70" t="str">
        <f t="shared" si="45"/>
        <v>WIN</v>
      </c>
      <c r="N264" s="70"/>
      <c r="O264" s="70"/>
      <c r="P264" s="70">
        <f>IF(Schedules[[#This Row],[Player 4]]="",Schedules[[#This Row],[Player 3]],Schedules[[#This Row],[Player 3]]&amp;" / "&amp;Schedules[[#This Row],[Player 4]])</f>
        <v>0</v>
      </c>
      <c r="Q264" s="70">
        <v>10</v>
      </c>
      <c r="R264" s="70" t="str">
        <f t="shared" si="46"/>
        <v>LOST</v>
      </c>
      <c r="T264" s="61"/>
    </row>
    <row r="265" spans="1:20" hidden="1" x14ac:dyDescent="0.3">
      <c r="A265" s="109" t="s">
        <v>51</v>
      </c>
      <c r="B265" s="78" t="s">
        <v>67</v>
      </c>
      <c r="C265" s="79">
        <f>D264+TIME(0,3,0)</f>
        <v>46117.37291666666</v>
      </c>
      <c r="D265" s="79">
        <f>C265+TIME(0,10,0)</f>
        <v>46117.379861111105</v>
      </c>
      <c r="E265" s="78" t="s">
        <v>433</v>
      </c>
      <c r="F265" s="78">
        <f t="shared" si="54"/>
        <v>1</v>
      </c>
      <c r="G265" s="78">
        <f>G263</f>
        <v>1</v>
      </c>
      <c r="H265" s="78" t="str">
        <f ca="1">IF(OR(S265="",T265=""),"",IFERROR(_xludf.XLOOKUP(S265,'Registrations'!#REF!,'Registrations'!#REF!,_xludf.XLOOKUP(S265,'Registrations'!$B$4:$B$211,'Registrations'!$E$4:$E$211,S265)),S265) &amp; " vs " &amp; IFERROR(_xludf.XLOOKUP(T265,'Registrations'!#REF!,'Registrations'!#REF!,_xludf.XLOOKUP(T265,'Registrations'!$B$4:$B$211,'Registrations'!$E$4:$E$211,T265)),T265))</f>
        <v>Rajib Sengupta / Antriksh Gala vs Pratik Bhagat / Godfrey Kattancherry</v>
      </c>
      <c r="I265" s="78" t="str">
        <f ca="1">_xlfn.TEXTBEFORE(_xlfn.TEXTBEFORE(H265," vs")," / ")</f>
        <v>Rajib Sengupta</v>
      </c>
      <c r="J265" s="78" t="str">
        <f ca="1">_xlfn.TEXTAFTER(_xlfn.TEXTBEFORE(H265," vs")," / ")</f>
        <v>Antriksh Gala</v>
      </c>
      <c r="K265" s="78" t="str">
        <f ca="1">IF(Schedules[[#This Row],[Player 2]]="",Schedules[[#This Row],[Player 1]],Schedules[[#This Row],[Player 1]]&amp;" / "&amp;Schedules[[#This Row],[Player 2]])</f>
        <v>Rajib Sengupta / Antriksh Gala</v>
      </c>
      <c r="L265" s="78">
        <v>15</v>
      </c>
      <c r="M265" s="78" t="str">
        <f t="shared" si="45"/>
        <v>WIN</v>
      </c>
      <c r="N265" s="78" t="str">
        <f ca="1">_xlfn.TEXTBEFORE(_xlfn.TEXTAFTER(H265,"vs "), " / ")</f>
        <v>Pratik Bhagat</v>
      </c>
      <c r="O265" s="78" t="str">
        <f ca="1">_xlfn.TEXTAFTER(_xlfn.TEXTAFTER(H265,"vs "), " / ")</f>
        <v>Godfrey Kattancherry</v>
      </c>
      <c r="P265" s="78" t="str">
        <f ca="1">IF(Schedules[[#This Row],[Player 4]]="",Schedules[[#This Row],[Player 3]],Schedules[[#This Row],[Player 3]]&amp;" / "&amp;Schedules[[#This Row],[Player 4]])</f>
        <v>Pratik Bhagat / Godfrey Kattancherry</v>
      </c>
      <c r="Q265" s="78">
        <v>10</v>
      </c>
      <c r="R265" s="78" t="str">
        <f t="shared" si="46"/>
        <v>LOST</v>
      </c>
      <c r="S265" s="61" t="str">
        <f>Input!B69</f>
        <v>Rajib Sengupta / Antriksh Gala</v>
      </c>
      <c r="T265" s="61" t="str">
        <f>Input!C69</f>
        <v>Pratik Bhagat / Godfrey Kattancherry</v>
      </c>
    </row>
    <row r="266" spans="1:20" hidden="1" x14ac:dyDescent="0.3">
      <c r="A266" s="109" t="s">
        <v>51</v>
      </c>
      <c r="B266" s="78" t="s">
        <v>67</v>
      </c>
      <c r="C266" s="79">
        <f t="shared" ref="C266:E267" si="55">C265</f>
        <v>46117.37291666666</v>
      </c>
      <c r="D266" s="79">
        <f t="shared" si="55"/>
        <v>46117.379861111105</v>
      </c>
      <c r="E266" s="78" t="str">
        <f t="shared" si="55"/>
        <v>Group</v>
      </c>
      <c r="F266" s="78">
        <f t="shared" si="54"/>
        <v>2</v>
      </c>
      <c r="G266" s="78">
        <v>1</v>
      </c>
      <c r="H266" s="78" t="str">
        <f ca="1">IF(OR(S266="",T266=""),"",IFERROR(_xludf.XLOOKUP(S266,'Registrations'!#REF!,'Registrations'!#REF!,_xludf.XLOOKUP(S266,'Registrations'!$B$4:$B$211,'Registrations'!$E$4:$E$211,S266)),S266) &amp; " vs " &amp; IFERROR(_xludf.XLOOKUP(T266,'Registrations'!#REF!,'Registrations'!#REF!,_xludf.XLOOKUP(T266,'Registrations'!$B$4:$B$211,'Registrations'!$E$4:$E$211,T266)),T266))</f>
        <v>0 vs 0</v>
      </c>
      <c r="I266" s="78"/>
      <c r="J266" s="78"/>
      <c r="K266" s="78">
        <f>IF(Schedules[[#This Row],[Player 2]]="",Schedules[[#This Row],[Player 1]],Schedules[[#This Row],[Player 1]]&amp;" / "&amp;Schedules[[#This Row],[Player 2]])</f>
        <v>0</v>
      </c>
      <c r="L266" s="78">
        <v>15</v>
      </c>
      <c r="M266" s="78" t="str">
        <f t="shared" si="45"/>
        <v>WIN</v>
      </c>
      <c r="N266" s="78"/>
      <c r="O266" s="78"/>
      <c r="P266" s="78">
        <f>IF(Schedules[[#This Row],[Player 4]]="",Schedules[[#This Row],[Player 3]],Schedules[[#This Row],[Player 3]]&amp;" / "&amp;Schedules[[#This Row],[Player 4]])</f>
        <v>0</v>
      </c>
      <c r="Q266" s="78">
        <v>10</v>
      </c>
      <c r="R266" s="78" t="str">
        <f t="shared" si="46"/>
        <v>LOST</v>
      </c>
      <c r="S266" s="61">
        <f>Input!D69</f>
        <v>0</v>
      </c>
      <c r="T266" s="61">
        <f>Input!E69</f>
        <v>0</v>
      </c>
    </row>
    <row r="267" spans="1:20" hidden="1" x14ac:dyDescent="0.3">
      <c r="A267" s="109" t="s">
        <v>51</v>
      </c>
      <c r="B267" s="78" t="s">
        <v>67</v>
      </c>
      <c r="C267" s="79">
        <f t="shared" si="55"/>
        <v>46117.37291666666</v>
      </c>
      <c r="D267" s="79">
        <f t="shared" si="55"/>
        <v>46117.379861111105</v>
      </c>
      <c r="E267" s="78" t="str">
        <f t="shared" si="55"/>
        <v>Group</v>
      </c>
      <c r="F267" s="78">
        <f t="shared" si="54"/>
        <v>3</v>
      </c>
      <c r="G267" s="78">
        <v>2</v>
      </c>
      <c r="H267" s="78" t="str">
        <f ca="1">IF(OR(S267="",T267=""),"",IFERROR(_xludf.XLOOKUP(S267,'Registrations'!#REF!,'Registrations'!#REF!,_xludf.XLOOKUP(S267,'Registrations'!$B$4:$B$211,'Registrations'!$E$4:$E$211,S267)),S267) &amp; " vs " &amp; IFERROR(_xludf.XLOOKUP(T267,'Registrations'!#REF!,'Registrations'!#REF!,_xludf.XLOOKUP(T267,'Registrations'!$B$4:$B$211,'Registrations'!$E$4:$E$211,T267)),T267))</f>
        <v>0 vs 0</v>
      </c>
      <c r="I267" s="78"/>
      <c r="J267" s="78"/>
      <c r="K267" s="78">
        <f>IF(Schedules[[#This Row],[Player 2]]="",Schedules[[#This Row],[Player 1]],Schedules[[#This Row],[Player 1]]&amp;" / "&amp;Schedules[[#This Row],[Player 2]])</f>
        <v>0</v>
      </c>
      <c r="L267" s="78">
        <v>15</v>
      </c>
      <c r="M267" s="78" t="str">
        <f t="shared" si="45"/>
        <v>WIN</v>
      </c>
      <c r="N267" s="78"/>
      <c r="O267" s="78"/>
      <c r="P267" s="78">
        <f>IF(Schedules[[#This Row],[Player 4]]="",Schedules[[#This Row],[Player 3]],Schedules[[#This Row],[Player 3]]&amp;" / "&amp;Schedules[[#This Row],[Player 4]])</f>
        <v>0</v>
      </c>
      <c r="Q267" s="78">
        <v>10</v>
      </c>
      <c r="R267" s="78" t="str">
        <f t="shared" si="46"/>
        <v>LOST</v>
      </c>
      <c r="S267" s="61">
        <f>Input!B70</f>
        <v>0</v>
      </c>
      <c r="T267" s="61">
        <f>Input!C70</f>
        <v>0</v>
      </c>
    </row>
    <row r="268" spans="1:20" hidden="1" x14ac:dyDescent="0.3">
      <c r="A268" s="109" t="s">
        <v>51</v>
      </c>
      <c r="B268" s="78" t="s">
        <v>67</v>
      </c>
      <c r="C268" s="79">
        <f>D267+TIME(0,3,0)</f>
        <v>46117.381944444438</v>
      </c>
      <c r="D268" s="79">
        <f>C268+TIME(0,10,0)</f>
        <v>46117.388888888883</v>
      </c>
      <c r="E268" s="78" t="str">
        <f t="shared" ref="E268:E276" si="56">E267</f>
        <v>Group</v>
      </c>
      <c r="F268" s="78">
        <f t="shared" si="54"/>
        <v>1</v>
      </c>
      <c r="G268" s="78">
        <v>1</v>
      </c>
      <c r="H268" s="78" t="str">
        <f ca="1">IF(OR(S268="",T268=""),"",IFERROR(_xludf.XLOOKUP(S268,'Registrations'!#REF!,'Registrations'!#REF!,_xludf.XLOOKUP(S268,'Registrations'!$B$4:$B$211,'Registrations'!$E$4:$E$211,S268)),S268) &amp; " vs " &amp; IFERROR(_xludf.XLOOKUP(T268,'Registrations'!#REF!,'Registrations'!#REF!,_xludf.XLOOKUP(T268,'Registrations'!$B$4:$B$211,'Registrations'!$E$4:$E$211,T268)),T268))</f>
        <v>Rajib Sengupta / Antriksh Gala vs 0</v>
      </c>
      <c r="I268" s="78"/>
      <c r="J268" s="78"/>
      <c r="K268" s="78">
        <f>IF(Schedules[[#This Row],[Player 2]]="",Schedules[[#This Row],[Player 1]],Schedules[[#This Row],[Player 1]]&amp;" / "&amp;Schedules[[#This Row],[Player 2]])</f>
        <v>0</v>
      </c>
      <c r="L268" s="78">
        <v>15</v>
      </c>
      <c r="M268" s="78" t="str">
        <f t="shared" ref="M268:M331" si="57">IF(L268=15,"WIN","LOST")</f>
        <v>WIN</v>
      </c>
      <c r="N268" s="78"/>
      <c r="O268" s="78"/>
      <c r="P268" s="78">
        <f>IF(Schedules[[#This Row],[Player 4]]="",Schedules[[#This Row],[Player 3]],Schedules[[#This Row],[Player 3]]&amp;" / "&amp;Schedules[[#This Row],[Player 4]])</f>
        <v>0</v>
      </c>
      <c r="Q268" s="78">
        <v>10</v>
      </c>
      <c r="R268" s="78" t="str">
        <f t="shared" ref="R268:R331" si="58">IF(Q268=15,"WIN","LOST")</f>
        <v>LOST</v>
      </c>
      <c r="S268" s="61" t="str">
        <f>Input!B69</f>
        <v>Rajib Sengupta / Antriksh Gala</v>
      </c>
      <c r="T268" s="61">
        <f>Input!D69</f>
        <v>0</v>
      </c>
    </row>
    <row r="269" spans="1:20" hidden="1" x14ac:dyDescent="0.3">
      <c r="A269" s="109" t="s">
        <v>51</v>
      </c>
      <c r="B269" s="78" t="s">
        <v>67</v>
      </c>
      <c r="C269" s="79">
        <f>C268</f>
        <v>46117.381944444438</v>
      </c>
      <c r="D269" s="79">
        <f>D268</f>
        <v>46117.388888888883</v>
      </c>
      <c r="E269" s="78" t="str">
        <f t="shared" si="56"/>
        <v>Group</v>
      </c>
      <c r="F269" s="78">
        <f t="shared" si="54"/>
        <v>2</v>
      </c>
      <c r="G269" s="78">
        <v>1</v>
      </c>
      <c r="H269" s="78" t="str">
        <f ca="1">IF(OR(S269="",T269=""),"",IFERROR(_xludf.XLOOKUP(S269,'Registrations'!#REF!,'Registrations'!#REF!,_xludf.XLOOKUP(S269,'Registrations'!$B$4:$B$211,'Registrations'!$E$4:$E$211,S269)),S269) &amp; " vs " &amp; IFERROR(_xludf.XLOOKUP(T269,'Registrations'!#REF!,'Registrations'!#REF!,_xludf.XLOOKUP(T269,'Registrations'!$B$4:$B$211,'Registrations'!$E$4:$E$211,T269)),T269))</f>
        <v>Pratik Bhagat / Godfrey Kattancherry vs 0</v>
      </c>
      <c r="I269" s="78"/>
      <c r="J269" s="78"/>
      <c r="K269" s="78">
        <f>IF(Schedules[[#This Row],[Player 2]]="",Schedules[[#This Row],[Player 1]],Schedules[[#This Row],[Player 1]]&amp;" / "&amp;Schedules[[#This Row],[Player 2]])</f>
        <v>0</v>
      </c>
      <c r="L269" s="78">
        <v>15</v>
      </c>
      <c r="M269" s="78" t="str">
        <f t="shared" si="57"/>
        <v>WIN</v>
      </c>
      <c r="N269" s="78"/>
      <c r="O269" s="78"/>
      <c r="P269" s="78">
        <f>IF(Schedules[[#This Row],[Player 4]]="",Schedules[[#This Row],[Player 3]],Schedules[[#This Row],[Player 3]]&amp;" / "&amp;Schedules[[#This Row],[Player 4]])</f>
        <v>0</v>
      </c>
      <c r="Q269" s="78">
        <v>10</v>
      </c>
      <c r="R269" s="78" t="str">
        <f t="shared" si="58"/>
        <v>LOST</v>
      </c>
      <c r="S269" s="61" t="str">
        <f>Input!C69</f>
        <v>Pratik Bhagat / Godfrey Kattancherry</v>
      </c>
      <c r="T269" s="61">
        <f>Input!E69</f>
        <v>0</v>
      </c>
    </row>
    <row r="270" spans="1:20" hidden="1" x14ac:dyDescent="0.3">
      <c r="A270" s="109" t="s">
        <v>51</v>
      </c>
      <c r="B270" s="78" t="s">
        <v>67</v>
      </c>
      <c r="C270" s="79">
        <f>C269</f>
        <v>46117.381944444438</v>
      </c>
      <c r="D270" s="79">
        <f>D269</f>
        <v>46117.388888888883</v>
      </c>
      <c r="E270" s="78" t="str">
        <f t="shared" si="56"/>
        <v>Group</v>
      </c>
      <c r="F270" s="78">
        <f t="shared" si="54"/>
        <v>3</v>
      </c>
      <c r="G270" s="78">
        <v>2</v>
      </c>
      <c r="H270" s="78" t="str">
        <f ca="1">IF(OR(S270="",T270=""),"",IFERROR(_xludf.XLOOKUP(S270,'Registrations'!#REF!,'Registrations'!#REF!,_xludf.XLOOKUP(S270,'Registrations'!$B$4:$B$211,'Registrations'!$E$4:$E$211,S270)),S270) &amp; " vs " &amp; IFERROR(_xludf.XLOOKUP(T270,'Registrations'!#REF!,'Registrations'!#REF!,_xludf.XLOOKUP(T270,'Registrations'!$B$4:$B$211,'Registrations'!$E$4:$E$211,T270)),T270))</f>
        <v>0 vs 0</v>
      </c>
      <c r="I270" s="78"/>
      <c r="J270" s="78"/>
      <c r="K270" s="78">
        <f>IF(Schedules[[#This Row],[Player 2]]="",Schedules[[#This Row],[Player 1]],Schedules[[#This Row],[Player 1]]&amp;" / "&amp;Schedules[[#This Row],[Player 2]])</f>
        <v>0</v>
      </c>
      <c r="L270" s="78">
        <v>15</v>
      </c>
      <c r="M270" s="78" t="str">
        <f t="shared" si="57"/>
        <v>WIN</v>
      </c>
      <c r="N270" s="78"/>
      <c r="O270" s="78"/>
      <c r="P270" s="78">
        <f>IF(Schedules[[#This Row],[Player 4]]="",Schedules[[#This Row],[Player 3]],Schedules[[#This Row],[Player 3]]&amp;" / "&amp;Schedules[[#This Row],[Player 4]])</f>
        <v>0</v>
      </c>
      <c r="Q270" s="78">
        <v>10</v>
      </c>
      <c r="R270" s="78" t="str">
        <f t="shared" si="58"/>
        <v>LOST</v>
      </c>
      <c r="S270" s="61">
        <f>Input!D70</f>
        <v>0</v>
      </c>
      <c r="T270" s="61">
        <f>Input!E70</f>
        <v>0</v>
      </c>
    </row>
    <row r="271" spans="1:20" hidden="1" x14ac:dyDescent="0.3">
      <c r="A271" s="109" t="s">
        <v>51</v>
      </c>
      <c r="B271" s="78" t="s">
        <v>67</v>
      </c>
      <c r="C271" s="79">
        <f>D270+TIME(0,3,0)</f>
        <v>46117.390972222216</v>
      </c>
      <c r="D271" s="79">
        <f>C271+TIME(0,10,0)</f>
        <v>46117.397916666661</v>
      </c>
      <c r="E271" s="78" t="str">
        <f t="shared" si="56"/>
        <v>Group</v>
      </c>
      <c r="F271" s="78">
        <f t="shared" si="54"/>
        <v>1</v>
      </c>
      <c r="G271" s="78">
        <v>2</v>
      </c>
      <c r="H271" s="78" t="str">
        <f ca="1">IF(OR(S271="",T271=""),"",IFERROR(_xludf.XLOOKUP(S271,'Registrations'!#REF!,'Registrations'!#REF!,_xludf.XLOOKUP(S271,'Registrations'!$B$4:$B$211,'Registrations'!$E$4:$E$211,S271)),S271) &amp; " vs " &amp; IFERROR(_xludf.XLOOKUP(T271,'Registrations'!#REF!,'Registrations'!#REF!,_xludf.XLOOKUP(T271,'Registrations'!$B$4:$B$211,'Registrations'!$E$4:$E$211,T271)),T271))</f>
        <v>0 vs 0</v>
      </c>
      <c r="I271" s="78"/>
      <c r="J271" s="78"/>
      <c r="K271" s="78">
        <f>IF(Schedules[[#This Row],[Player 2]]="",Schedules[[#This Row],[Player 1]],Schedules[[#This Row],[Player 1]]&amp;" / "&amp;Schedules[[#This Row],[Player 2]])</f>
        <v>0</v>
      </c>
      <c r="L271" s="78">
        <v>15</v>
      </c>
      <c r="M271" s="78" t="str">
        <f t="shared" si="57"/>
        <v>WIN</v>
      </c>
      <c r="N271" s="78"/>
      <c r="O271" s="78"/>
      <c r="P271" s="78">
        <f>IF(Schedules[[#This Row],[Player 4]]="",Schedules[[#This Row],[Player 3]],Schedules[[#This Row],[Player 3]]&amp;" / "&amp;Schedules[[#This Row],[Player 4]])</f>
        <v>0</v>
      </c>
      <c r="Q271" s="78">
        <v>10</v>
      </c>
      <c r="R271" s="78" t="str">
        <f t="shared" si="58"/>
        <v>LOST</v>
      </c>
      <c r="S271" s="61">
        <f>Input!B70</f>
        <v>0</v>
      </c>
      <c r="T271" s="61">
        <f>Input!D70</f>
        <v>0</v>
      </c>
    </row>
    <row r="272" spans="1:20" hidden="1" x14ac:dyDescent="0.3">
      <c r="A272" s="109" t="s">
        <v>51</v>
      </c>
      <c r="B272" s="78" t="s">
        <v>67</v>
      </c>
      <c r="C272" s="79">
        <f>C271</f>
        <v>46117.390972222216</v>
      </c>
      <c r="D272" s="79">
        <f>D271</f>
        <v>46117.397916666661</v>
      </c>
      <c r="E272" s="78" t="str">
        <f t="shared" si="56"/>
        <v>Group</v>
      </c>
      <c r="F272" s="78">
        <f t="shared" si="54"/>
        <v>2</v>
      </c>
      <c r="G272" s="78">
        <v>2</v>
      </c>
      <c r="H272" s="78" t="str">
        <f ca="1">IF(OR(S272="",T272=""),"",IFERROR(_xludf.XLOOKUP(S272,'Registrations'!#REF!,'Registrations'!#REF!,_xludf.XLOOKUP(S272,'Registrations'!$B$4:$B$211,'Registrations'!$E$4:$E$211,S272)),S272) &amp; " vs " &amp; IFERROR(_xludf.XLOOKUP(T272,'Registrations'!#REF!,'Registrations'!#REF!,_xludf.XLOOKUP(T272,'Registrations'!$B$4:$B$211,'Registrations'!$E$4:$E$211,T272)),T272))</f>
        <v>0 vs 0</v>
      </c>
      <c r="I272" s="78"/>
      <c r="J272" s="78"/>
      <c r="K272" s="78">
        <f>IF(Schedules[[#This Row],[Player 2]]="",Schedules[[#This Row],[Player 1]],Schedules[[#This Row],[Player 1]]&amp;" / "&amp;Schedules[[#This Row],[Player 2]])</f>
        <v>0</v>
      </c>
      <c r="L272" s="78">
        <v>15</v>
      </c>
      <c r="M272" s="78" t="str">
        <f t="shared" si="57"/>
        <v>WIN</v>
      </c>
      <c r="N272" s="78"/>
      <c r="O272" s="78"/>
      <c r="P272" s="78">
        <f>IF(Schedules[[#This Row],[Player 4]]="",Schedules[[#This Row],[Player 3]],Schedules[[#This Row],[Player 3]]&amp;" / "&amp;Schedules[[#This Row],[Player 4]])</f>
        <v>0</v>
      </c>
      <c r="Q272" s="78">
        <v>10</v>
      </c>
      <c r="R272" s="78" t="str">
        <f t="shared" si="58"/>
        <v>LOST</v>
      </c>
      <c r="S272" s="61">
        <f>Input!C70</f>
        <v>0</v>
      </c>
      <c r="T272" s="61">
        <f>Input!E70</f>
        <v>0</v>
      </c>
    </row>
    <row r="273" spans="1:20" hidden="1" x14ac:dyDescent="0.3">
      <c r="A273" s="109" t="s">
        <v>51</v>
      </c>
      <c r="B273" s="78" t="s">
        <v>67</v>
      </c>
      <c r="C273" s="79">
        <f>C272</f>
        <v>46117.390972222216</v>
      </c>
      <c r="D273" s="79">
        <f>D272</f>
        <v>46117.397916666661</v>
      </c>
      <c r="E273" s="78" t="str">
        <f t="shared" si="56"/>
        <v>Group</v>
      </c>
      <c r="F273" s="78">
        <f t="shared" si="54"/>
        <v>3</v>
      </c>
      <c r="G273" s="78">
        <v>1</v>
      </c>
      <c r="H273" s="78" t="str">
        <f ca="1">IF(OR(S273="",T273=""),"",IFERROR(_xludf.XLOOKUP(S273,'Registrations'!#REF!,'Registrations'!#REF!,_xludf.XLOOKUP(S273,'Registrations'!$B$4:$B$211,'Registrations'!$E$4:$E$211,S273)),S273) &amp; " vs " &amp; IFERROR(_xludf.XLOOKUP(T273,'Registrations'!#REF!,'Registrations'!#REF!,_xludf.XLOOKUP(T273,'Registrations'!$B$4:$B$211,'Registrations'!$E$4:$E$211,T273)),T273))</f>
        <v>Rajib Sengupta / Antriksh Gala vs 0</v>
      </c>
      <c r="I273" s="78"/>
      <c r="J273" s="78"/>
      <c r="K273" s="78">
        <f>IF(Schedules[[#This Row],[Player 2]]="",Schedules[[#This Row],[Player 1]],Schedules[[#This Row],[Player 1]]&amp;" / "&amp;Schedules[[#This Row],[Player 2]])</f>
        <v>0</v>
      </c>
      <c r="L273" s="78">
        <v>15</v>
      </c>
      <c r="M273" s="78" t="str">
        <f t="shared" si="57"/>
        <v>WIN</v>
      </c>
      <c r="N273" s="78"/>
      <c r="O273" s="78"/>
      <c r="P273" s="78">
        <f>IF(Schedules[[#This Row],[Player 4]]="",Schedules[[#This Row],[Player 3]],Schedules[[#This Row],[Player 3]]&amp;" / "&amp;Schedules[[#This Row],[Player 4]])</f>
        <v>0</v>
      </c>
      <c r="Q273" s="78">
        <v>10</v>
      </c>
      <c r="R273" s="78" t="str">
        <f t="shared" si="58"/>
        <v>LOST</v>
      </c>
      <c r="S273" s="61" t="str">
        <f>Input!B69</f>
        <v>Rajib Sengupta / Antriksh Gala</v>
      </c>
      <c r="T273" s="61">
        <f>Input!E69</f>
        <v>0</v>
      </c>
    </row>
    <row r="274" spans="1:20" hidden="1" x14ac:dyDescent="0.3">
      <c r="A274" s="109" t="s">
        <v>51</v>
      </c>
      <c r="B274" s="78" t="s">
        <v>67</v>
      </c>
      <c r="C274" s="79">
        <f>D273+TIME(0,3,0)</f>
        <v>46117.399999999994</v>
      </c>
      <c r="D274" s="79">
        <f>C274+TIME(0,10,0)</f>
        <v>46117.406944444439</v>
      </c>
      <c r="E274" s="78" t="str">
        <f t="shared" si="56"/>
        <v>Group</v>
      </c>
      <c r="F274" s="78">
        <f t="shared" si="54"/>
        <v>1</v>
      </c>
      <c r="G274" s="78">
        <v>2</v>
      </c>
      <c r="H274" s="78" t="str">
        <f ca="1">IF(OR(S274="",T274=""),"",IFERROR(_xludf.XLOOKUP(S274,'Registrations'!#REF!,'Registrations'!#REF!,_xludf.XLOOKUP(S274,'Registrations'!$B$4:$B$211,'Registrations'!$E$4:$E$211,S274)),S274) &amp; " vs " &amp; IFERROR(_xludf.XLOOKUP(T274,'Registrations'!#REF!,'Registrations'!#REF!,_xludf.XLOOKUP(T274,'Registrations'!$B$4:$B$211,'Registrations'!$E$4:$E$211,T274)),T274))</f>
        <v>0 vs 0</v>
      </c>
      <c r="I274" s="78"/>
      <c r="J274" s="78"/>
      <c r="K274" s="78">
        <f>IF(Schedules[[#This Row],[Player 2]]="",Schedules[[#This Row],[Player 1]],Schedules[[#This Row],[Player 1]]&amp;" / "&amp;Schedules[[#This Row],[Player 2]])</f>
        <v>0</v>
      </c>
      <c r="L274" s="78">
        <v>15</v>
      </c>
      <c r="M274" s="78" t="str">
        <f t="shared" si="57"/>
        <v>WIN</v>
      </c>
      <c r="N274" s="78"/>
      <c r="O274" s="78"/>
      <c r="P274" s="78">
        <f>IF(Schedules[[#This Row],[Player 4]]="",Schedules[[#This Row],[Player 3]],Schedules[[#This Row],[Player 3]]&amp;" / "&amp;Schedules[[#This Row],[Player 4]])</f>
        <v>0</v>
      </c>
      <c r="Q274" s="78">
        <v>10</v>
      </c>
      <c r="R274" s="78" t="str">
        <f t="shared" si="58"/>
        <v>LOST</v>
      </c>
      <c r="S274" s="61">
        <f>Input!B70</f>
        <v>0</v>
      </c>
      <c r="T274" s="61">
        <f>Input!E70</f>
        <v>0</v>
      </c>
    </row>
    <row r="275" spans="1:20" hidden="1" x14ac:dyDescent="0.3">
      <c r="A275" s="109" t="s">
        <v>51</v>
      </c>
      <c r="B275" s="78" t="s">
        <v>67</v>
      </c>
      <c r="C275" s="79">
        <f>C274</f>
        <v>46117.399999999994</v>
      </c>
      <c r="D275" s="79">
        <f>D274</f>
        <v>46117.406944444439</v>
      </c>
      <c r="E275" s="78" t="str">
        <f t="shared" si="56"/>
        <v>Group</v>
      </c>
      <c r="F275" s="78">
        <f t="shared" si="54"/>
        <v>2</v>
      </c>
      <c r="G275" s="78">
        <v>2</v>
      </c>
      <c r="H275" s="78" t="str">
        <f ca="1">IF(OR(S275="",T275=""),"",IFERROR(_xludf.XLOOKUP(S275,'Registrations'!#REF!,'Registrations'!#REF!,_xludf.XLOOKUP(S275,'Registrations'!$B$4:$B$211,'Registrations'!$E$4:$E$211,S275)),S275) &amp; " vs " &amp; IFERROR(_xludf.XLOOKUP(T275,'Registrations'!#REF!,'Registrations'!#REF!,_xludf.XLOOKUP(T275,'Registrations'!$B$4:$B$211,'Registrations'!$E$4:$E$211,T275)),T275))</f>
        <v>0 vs 0</v>
      </c>
      <c r="I275" s="78"/>
      <c r="J275" s="78"/>
      <c r="K275" s="78">
        <f>IF(Schedules[[#This Row],[Player 2]]="",Schedules[[#This Row],[Player 1]],Schedules[[#This Row],[Player 1]]&amp;" / "&amp;Schedules[[#This Row],[Player 2]])</f>
        <v>0</v>
      </c>
      <c r="L275" s="78">
        <v>15</v>
      </c>
      <c r="M275" s="78" t="str">
        <f t="shared" si="57"/>
        <v>WIN</v>
      </c>
      <c r="N275" s="78"/>
      <c r="O275" s="78"/>
      <c r="P275" s="78">
        <f>IF(Schedules[[#This Row],[Player 4]]="",Schedules[[#This Row],[Player 3]],Schedules[[#This Row],[Player 3]]&amp;" / "&amp;Schedules[[#This Row],[Player 4]])</f>
        <v>0</v>
      </c>
      <c r="Q275" s="78">
        <v>10</v>
      </c>
      <c r="R275" s="78" t="str">
        <f t="shared" si="58"/>
        <v>LOST</v>
      </c>
      <c r="S275" s="61">
        <f>Input!C70</f>
        <v>0</v>
      </c>
      <c r="T275" s="61">
        <f>Input!D70</f>
        <v>0</v>
      </c>
    </row>
    <row r="276" spans="1:20" hidden="1" x14ac:dyDescent="0.3">
      <c r="A276" s="109" t="s">
        <v>51</v>
      </c>
      <c r="B276" s="78" t="s">
        <v>67</v>
      </c>
      <c r="C276" s="79">
        <f>C275</f>
        <v>46117.399999999994</v>
      </c>
      <c r="D276" s="79">
        <f>D275</f>
        <v>46117.406944444439</v>
      </c>
      <c r="E276" s="78" t="str">
        <f t="shared" si="56"/>
        <v>Group</v>
      </c>
      <c r="F276" s="78">
        <f t="shared" si="54"/>
        <v>3</v>
      </c>
      <c r="G276" s="78">
        <v>1</v>
      </c>
      <c r="H276" s="78" t="str">
        <f ca="1">IF(OR(S276="",T276=""),"",IFERROR(_xludf.XLOOKUP(S276,'Registrations'!#REF!,'Registrations'!#REF!,_xludf.XLOOKUP(S276,'Registrations'!$B$4:$B$211,'Registrations'!$E$4:$E$211,S276)),S276) &amp; " vs " &amp; IFERROR(_xludf.XLOOKUP(T276,'Registrations'!#REF!,'Registrations'!#REF!,_xludf.XLOOKUP(T276,'Registrations'!$B$4:$B$211,'Registrations'!$E$4:$E$211,T276)),T276))</f>
        <v>Pratik Bhagat / Godfrey Kattancherry vs 0</v>
      </c>
      <c r="I276" s="78"/>
      <c r="J276" s="78"/>
      <c r="K276" s="78">
        <f>IF(Schedules[[#This Row],[Player 2]]="",Schedules[[#This Row],[Player 1]],Schedules[[#This Row],[Player 1]]&amp;" / "&amp;Schedules[[#This Row],[Player 2]])</f>
        <v>0</v>
      </c>
      <c r="L276" s="78">
        <v>15</v>
      </c>
      <c r="M276" s="78" t="str">
        <f t="shared" si="57"/>
        <v>WIN</v>
      </c>
      <c r="N276" s="78"/>
      <c r="O276" s="78"/>
      <c r="P276" s="78">
        <f>IF(Schedules[[#This Row],[Player 4]]="",Schedules[[#This Row],[Player 3]],Schedules[[#This Row],[Player 3]]&amp;" / "&amp;Schedules[[#This Row],[Player 4]])</f>
        <v>0</v>
      </c>
      <c r="Q276" s="78">
        <v>10</v>
      </c>
      <c r="R276" s="78" t="str">
        <f t="shared" si="58"/>
        <v>LOST</v>
      </c>
      <c r="S276" s="61" t="str">
        <f>Input!C69</f>
        <v>Pratik Bhagat / Godfrey Kattancherry</v>
      </c>
      <c r="T276" s="61">
        <f>Input!D69</f>
        <v>0</v>
      </c>
    </row>
    <row r="277" spans="1:20" hidden="1" x14ac:dyDescent="0.3">
      <c r="A277" s="110" t="s">
        <v>51</v>
      </c>
      <c r="B277" s="76" t="s">
        <v>67</v>
      </c>
      <c r="C277" s="77">
        <f>D276+TIME(0,3,0)</f>
        <v>46117.409027777772</v>
      </c>
      <c r="D277" s="77">
        <f>C277+TIME(0,10,0)</f>
        <v>46117.415972222218</v>
      </c>
      <c r="E277" s="76" t="s">
        <v>432</v>
      </c>
      <c r="F277" s="76">
        <f t="shared" si="54"/>
        <v>1</v>
      </c>
      <c r="G277" s="76" t="s">
        <v>422</v>
      </c>
      <c r="H277" s="76" t="str">
        <f ca="1">IF(OR(S277="",T277=""),"",IFERROR(_xludf.XLOOKUP(S277,'Registrations'!#REF!,'Registrations'!#REF!,_xludf.XLOOKUP(S277,'Registrations'!$B$4:$B$211,'Registrations'!$E$4:$E$211,S277)),S277) &amp; " vs " &amp; IFERROR(_xludf.XLOOKUP(T277,'Registrations'!#REF!,'Registrations'!#REF!,_xludf.XLOOKUP(T277,'Registrations'!$B$4:$B$211,'Registrations'!$E$4:$E$211,T277)),T277))</f>
        <v>Rajib Sengupta / Antriksh Gala vs 0</v>
      </c>
      <c r="I277" s="76"/>
      <c r="J277" s="76"/>
      <c r="K277" s="76">
        <f>IF(Schedules[[#This Row],[Player 2]]="",Schedules[[#This Row],[Player 1]],Schedules[[#This Row],[Player 1]]&amp;" / "&amp;Schedules[[#This Row],[Player 2]])</f>
        <v>0</v>
      </c>
      <c r="L277" s="76">
        <v>15</v>
      </c>
      <c r="M277" s="76" t="str">
        <f t="shared" si="57"/>
        <v>WIN</v>
      </c>
      <c r="N277" s="76"/>
      <c r="O277" s="76"/>
      <c r="P277" s="76">
        <f>IF(Schedules[[#This Row],[Player 4]]="",Schedules[[#This Row],[Player 3]],Schedules[[#This Row],[Player 3]]&amp;" / "&amp;Schedules[[#This Row],[Player 4]])</f>
        <v>0</v>
      </c>
      <c r="Q277" s="76">
        <v>10</v>
      </c>
      <c r="R277" s="76" t="str">
        <f t="shared" si="58"/>
        <v>LOST</v>
      </c>
      <c r="S277" s="61" t="str">
        <f>Input!H69</f>
        <v>Rajib Sengupta / Antriksh Gala</v>
      </c>
      <c r="T277" s="61">
        <f>Input!I69</f>
        <v>0</v>
      </c>
    </row>
    <row r="278" spans="1:20" hidden="1" x14ac:dyDescent="0.3">
      <c r="A278" s="110" t="s">
        <v>51</v>
      </c>
      <c r="B278" s="76" t="s">
        <v>67</v>
      </c>
      <c r="C278" s="77">
        <f>C277</f>
        <v>46117.409027777772</v>
      </c>
      <c r="D278" s="77">
        <f>D277</f>
        <v>46117.415972222218</v>
      </c>
      <c r="E278" s="76" t="str">
        <f>E277</f>
        <v>Pre-Q</v>
      </c>
      <c r="F278" s="76">
        <f t="shared" si="54"/>
        <v>2</v>
      </c>
      <c r="G278" s="76" t="s">
        <v>422</v>
      </c>
      <c r="H278" s="76" t="str">
        <f ca="1">IF(OR(S278="",T278=""),"",IFERROR(_xludf.XLOOKUP(S278,'Registrations'!#REF!,'Registrations'!#REF!,_xludf.XLOOKUP(S278,'Registrations'!$B$4:$B$211,'Registrations'!$E$4:$E$211,S278)),S278) &amp; " vs " &amp; IFERROR(_xludf.XLOOKUP(T278,'Registrations'!#REF!,'Registrations'!#REF!,_xludf.XLOOKUP(T278,'Registrations'!$B$4:$B$211,'Registrations'!$E$4:$E$211,T278)),T278))</f>
        <v>0 vs 0</v>
      </c>
      <c r="I278" s="76"/>
      <c r="J278" s="76"/>
      <c r="K278" s="76">
        <f>IF(Schedules[[#This Row],[Player 2]]="",Schedules[[#This Row],[Player 1]],Schedules[[#This Row],[Player 1]]&amp;" / "&amp;Schedules[[#This Row],[Player 2]])</f>
        <v>0</v>
      </c>
      <c r="L278" s="76">
        <v>15</v>
      </c>
      <c r="M278" s="76" t="str">
        <f t="shared" si="57"/>
        <v>WIN</v>
      </c>
      <c r="N278" s="76"/>
      <c r="O278" s="76"/>
      <c r="P278" s="76">
        <f>IF(Schedules[[#This Row],[Player 4]]="",Schedules[[#This Row],[Player 3]],Schedules[[#This Row],[Player 3]]&amp;" / "&amp;Schedules[[#This Row],[Player 4]])</f>
        <v>0</v>
      </c>
      <c r="Q278" s="76">
        <v>10</v>
      </c>
      <c r="R278" s="76" t="str">
        <f t="shared" si="58"/>
        <v>LOST</v>
      </c>
      <c r="S278" s="61">
        <f>Input!H70</f>
        <v>0</v>
      </c>
      <c r="T278" s="61">
        <f>Input!I70</f>
        <v>0</v>
      </c>
    </row>
    <row r="279" spans="1:20" hidden="1" x14ac:dyDescent="0.3">
      <c r="A279" s="109" t="s">
        <v>51</v>
      </c>
      <c r="B279" s="78" t="s">
        <v>67</v>
      </c>
      <c r="C279" s="79">
        <f>C278</f>
        <v>46117.409027777772</v>
      </c>
      <c r="D279" s="79">
        <f>D278</f>
        <v>46117.415972222218</v>
      </c>
      <c r="E279" s="78" t="s">
        <v>433</v>
      </c>
      <c r="F279" s="78">
        <f t="shared" si="54"/>
        <v>3</v>
      </c>
      <c r="G279" s="78">
        <v>3</v>
      </c>
      <c r="H279" s="78" t="str">
        <f ca="1">IF(OR(S279="",T279=""),"",IFERROR(_xludf.XLOOKUP(S279,'Registrations'!#REF!,'Registrations'!#REF!,_xludf.XLOOKUP(S279,'Registrations'!$B$4:$B$211,'Registrations'!$E$4:$E$211,S279)),S279) &amp; " vs " &amp; IFERROR(_xludf.XLOOKUP(T279,'Registrations'!#REF!,'Registrations'!#REF!,_xludf.XLOOKUP(T279,'Registrations'!$B$4:$B$211,'Registrations'!$E$4:$E$211,T279)),T279))</f>
        <v>0 vs 0</v>
      </c>
      <c r="I279" s="78"/>
      <c r="J279" s="78"/>
      <c r="K279" s="78">
        <f>IF(Schedules[[#This Row],[Player 2]]="",Schedules[[#This Row],[Player 1]],Schedules[[#This Row],[Player 1]]&amp;" / "&amp;Schedules[[#This Row],[Player 2]])</f>
        <v>0</v>
      </c>
      <c r="L279" s="78">
        <v>15</v>
      </c>
      <c r="M279" s="78" t="str">
        <f t="shared" si="57"/>
        <v>WIN</v>
      </c>
      <c r="N279" s="78"/>
      <c r="O279" s="78"/>
      <c r="P279" s="78">
        <f>IF(Schedules[[#This Row],[Player 4]]="",Schedules[[#This Row],[Player 3]],Schedules[[#This Row],[Player 3]]&amp;" / "&amp;Schedules[[#This Row],[Player 4]])</f>
        <v>0</v>
      </c>
      <c r="Q279" s="78">
        <v>10</v>
      </c>
      <c r="R279" s="78" t="str">
        <f t="shared" si="58"/>
        <v>LOST</v>
      </c>
      <c r="S279" s="61">
        <f>Input!B71</f>
        <v>0</v>
      </c>
      <c r="T279" s="61">
        <f>Input!C71</f>
        <v>0</v>
      </c>
    </row>
    <row r="280" spans="1:20" hidden="1" x14ac:dyDescent="0.3">
      <c r="A280" s="109" t="s">
        <v>51</v>
      </c>
      <c r="B280" s="78" t="s">
        <v>67</v>
      </c>
      <c r="C280" s="79">
        <f>D279+TIME(0,3,0)</f>
        <v>46117.41805555555</v>
      </c>
      <c r="D280" s="79">
        <f>C280+TIME(0,10,0)</f>
        <v>46117.424999999996</v>
      </c>
      <c r="E280" s="78" t="str">
        <f t="shared" ref="E280:E288" si="59">E279</f>
        <v>Group</v>
      </c>
      <c r="F280" s="78">
        <f t="shared" si="54"/>
        <v>1</v>
      </c>
      <c r="G280" s="78">
        <v>3</v>
      </c>
      <c r="H280" s="78" t="str">
        <f ca="1">IF(OR(S280="",T280=""),"",IFERROR(_xludf.XLOOKUP(S280,'Registrations'!#REF!,'Registrations'!#REF!,_xludf.XLOOKUP(S280,'Registrations'!$B$4:$B$211,'Registrations'!$E$4:$E$211,S280)),S280) &amp; " vs " &amp; IFERROR(_xludf.XLOOKUP(T280,'Registrations'!#REF!,'Registrations'!#REF!,_xludf.XLOOKUP(T280,'Registrations'!$B$4:$B$211,'Registrations'!$E$4:$E$211,T280)),T280))</f>
        <v>0 vs 0</v>
      </c>
      <c r="I280" s="78"/>
      <c r="J280" s="78"/>
      <c r="K280" s="78">
        <f>IF(Schedules[[#This Row],[Player 2]]="",Schedules[[#This Row],[Player 1]],Schedules[[#This Row],[Player 1]]&amp;" / "&amp;Schedules[[#This Row],[Player 2]])</f>
        <v>0</v>
      </c>
      <c r="L280" s="78">
        <v>15</v>
      </c>
      <c r="M280" s="78" t="str">
        <f t="shared" si="57"/>
        <v>WIN</v>
      </c>
      <c r="N280" s="78"/>
      <c r="O280" s="78"/>
      <c r="P280" s="78">
        <f>IF(Schedules[[#This Row],[Player 4]]="",Schedules[[#This Row],[Player 3]],Schedules[[#This Row],[Player 3]]&amp;" / "&amp;Schedules[[#This Row],[Player 4]])</f>
        <v>0</v>
      </c>
      <c r="Q280" s="78">
        <v>10</v>
      </c>
      <c r="R280" s="78" t="str">
        <f t="shared" si="58"/>
        <v>LOST</v>
      </c>
      <c r="S280" s="61">
        <f>Input!D71</f>
        <v>0</v>
      </c>
      <c r="T280" s="61">
        <f>Input!E71</f>
        <v>0</v>
      </c>
    </row>
    <row r="281" spans="1:20" hidden="1" x14ac:dyDescent="0.3">
      <c r="A281" s="109" t="s">
        <v>51</v>
      </c>
      <c r="B281" s="78" t="s">
        <v>67</v>
      </c>
      <c r="C281" s="79">
        <f>C280</f>
        <v>46117.41805555555</v>
      </c>
      <c r="D281" s="79">
        <f>D280</f>
        <v>46117.424999999996</v>
      </c>
      <c r="E281" s="78" t="str">
        <f t="shared" si="59"/>
        <v>Group</v>
      </c>
      <c r="F281" s="78">
        <f t="shared" si="54"/>
        <v>2</v>
      </c>
      <c r="G281" s="78">
        <v>4</v>
      </c>
      <c r="H281" s="78" t="str">
        <f ca="1">IF(OR(S281="",T281=""),"",IFERROR(_xludf.XLOOKUP(S281,'Registrations'!#REF!,'Registrations'!#REF!,_xludf.XLOOKUP(S281,'Registrations'!$B$4:$B$211,'Registrations'!$E$4:$E$211,S281)),S281) &amp; " vs " &amp; IFERROR(_xludf.XLOOKUP(T281,'Registrations'!#REF!,'Registrations'!#REF!,_xludf.XLOOKUP(T281,'Registrations'!$B$4:$B$211,'Registrations'!$E$4:$E$211,T281)),T281))</f>
        <v>0 vs 0</v>
      </c>
      <c r="I281" s="78"/>
      <c r="J281" s="78"/>
      <c r="K281" s="78">
        <f>IF(Schedules[[#This Row],[Player 2]]="",Schedules[[#This Row],[Player 1]],Schedules[[#This Row],[Player 1]]&amp;" / "&amp;Schedules[[#This Row],[Player 2]])</f>
        <v>0</v>
      </c>
      <c r="L281" s="78">
        <v>15</v>
      </c>
      <c r="M281" s="78" t="str">
        <f t="shared" si="57"/>
        <v>WIN</v>
      </c>
      <c r="N281" s="78"/>
      <c r="O281" s="78"/>
      <c r="P281" s="78">
        <f>IF(Schedules[[#This Row],[Player 4]]="",Schedules[[#This Row],[Player 3]],Schedules[[#This Row],[Player 3]]&amp;" / "&amp;Schedules[[#This Row],[Player 4]])</f>
        <v>0</v>
      </c>
      <c r="Q281" s="78">
        <v>10</v>
      </c>
      <c r="R281" s="78" t="str">
        <f t="shared" si="58"/>
        <v>LOST</v>
      </c>
      <c r="S281" s="61">
        <f>Input!B72</f>
        <v>0</v>
      </c>
      <c r="T281" s="61">
        <f>Input!C72</f>
        <v>0</v>
      </c>
    </row>
    <row r="282" spans="1:20" hidden="1" x14ac:dyDescent="0.3">
      <c r="A282" s="109" t="s">
        <v>51</v>
      </c>
      <c r="B282" s="78" t="s">
        <v>67</v>
      </c>
      <c r="C282" s="79">
        <f>C281</f>
        <v>46117.41805555555</v>
      </c>
      <c r="D282" s="79">
        <f>D281</f>
        <v>46117.424999999996</v>
      </c>
      <c r="E282" s="78" t="str">
        <f t="shared" si="59"/>
        <v>Group</v>
      </c>
      <c r="F282" s="78">
        <f t="shared" si="54"/>
        <v>3</v>
      </c>
      <c r="G282" s="78">
        <v>3</v>
      </c>
      <c r="H282" s="78" t="str">
        <f ca="1">IF(OR(S282="",T282=""),"",IFERROR(_xludf.XLOOKUP(S282,'Registrations'!#REF!,'Registrations'!#REF!,_xludf.XLOOKUP(S282,'Registrations'!$B$4:$B$211,'Registrations'!$E$4:$E$211,S282)),S282) &amp; " vs " &amp; IFERROR(_xludf.XLOOKUP(T282,'Registrations'!#REF!,'Registrations'!#REF!,_xludf.XLOOKUP(T282,'Registrations'!$B$4:$B$211,'Registrations'!$E$4:$E$211,T282)),T282))</f>
        <v>0 vs 0</v>
      </c>
      <c r="I282" s="78"/>
      <c r="J282" s="78"/>
      <c r="K282" s="78">
        <f>IF(Schedules[[#This Row],[Player 2]]="",Schedules[[#This Row],[Player 1]],Schedules[[#This Row],[Player 1]]&amp;" / "&amp;Schedules[[#This Row],[Player 2]])</f>
        <v>0</v>
      </c>
      <c r="L282" s="78">
        <v>15</v>
      </c>
      <c r="M282" s="78" t="str">
        <f t="shared" si="57"/>
        <v>WIN</v>
      </c>
      <c r="N282" s="78"/>
      <c r="O282" s="78"/>
      <c r="P282" s="78">
        <f>IF(Schedules[[#This Row],[Player 4]]="",Schedules[[#This Row],[Player 3]],Schedules[[#This Row],[Player 3]]&amp;" / "&amp;Schedules[[#This Row],[Player 4]])</f>
        <v>0</v>
      </c>
      <c r="Q282" s="78">
        <v>10</v>
      </c>
      <c r="R282" s="78" t="str">
        <f t="shared" si="58"/>
        <v>LOST</v>
      </c>
      <c r="S282" s="61">
        <f>Input!B71</f>
        <v>0</v>
      </c>
      <c r="T282" s="61">
        <f>Input!D71</f>
        <v>0</v>
      </c>
    </row>
    <row r="283" spans="1:20" hidden="1" x14ac:dyDescent="0.3">
      <c r="A283" s="109" t="s">
        <v>51</v>
      </c>
      <c r="B283" s="78" t="s">
        <v>67</v>
      </c>
      <c r="C283" s="79">
        <f>D282+TIME(0,3,0)</f>
        <v>46117.427083333328</v>
      </c>
      <c r="D283" s="79">
        <f>C283+TIME(0,10,0)</f>
        <v>46117.434027777774</v>
      </c>
      <c r="E283" s="78" t="str">
        <f t="shared" si="59"/>
        <v>Group</v>
      </c>
      <c r="F283" s="78">
        <f t="shared" si="54"/>
        <v>1</v>
      </c>
      <c r="G283" s="78">
        <v>3</v>
      </c>
      <c r="H283" s="78" t="str">
        <f ca="1">IF(OR(S283="",T283=""),"",IFERROR(_xludf.XLOOKUP(S283,'Registrations'!#REF!,'Registrations'!#REF!,_xludf.XLOOKUP(S283,'Registrations'!$B$4:$B$211,'Registrations'!$E$4:$E$211,S283)),S283) &amp; " vs " &amp; IFERROR(_xludf.XLOOKUP(T283,'Registrations'!#REF!,'Registrations'!#REF!,_xludf.XLOOKUP(T283,'Registrations'!$B$4:$B$211,'Registrations'!$E$4:$E$211,T283)),T283))</f>
        <v>0 vs 0</v>
      </c>
      <c r="I283" s="78"/>
      <c r="J283" s="78"/>
      <c r="K283" s="78">
        <f>IF(Schedules[[#This Row],[Player 2]]="",Schedules[[#This Row],[Player 1]],Schedules[[#This Row],[Player 1]]&amp;" / "&amp;Schedules[[#This Row],[Player 2]])</f>
        <v>0</v>
      </c>
      <c r="L283" s="78">
        <v>15</v>
      </c>
      <c r="M283" s="78" t="str">
        <f t="shared" si="57"/>
        <v>WIN</v>
      </c>
      <c r="N283" s="78"/>
      <c r="O283" s="78"/>
      <c r="P283" s="78">
        <f>IF(Schedules[[#This Row],[Player 4]]="",Schedules[[#This Row],[Player 3]],Schedules[[#This Row],[Player 3]]&amp;" / "&amp;Schedules[[#This Row],[Player 4]])</f>
        <v>0</v>
      </c>
      <c r="Q283" s="78">
        <v>10</v>
      </c>
      <c r="R283" s="78" t="str">
        <f t="shared" si="58"/>
        <v>LOST</v>
      </c>
      <c r="S283" s="61">
        <f>Input!C71</f>
        <v>0</v>
      </c>
      <c r="T283" s="61">
        <f>Input!E71</f>
        <v>0</v>
      </c>
    </row>
    <row r="284" spans="1:20" hidden="1" x14ac:dyDescent="0.3">
      <c r="A284" s="109" t="s">
        <v>51</v>
      </c>
      <c r="B284" s="78" t="s">
        <v>67</v>
      </c>
      <c r="C284" s="79">
        <f>C283</f>
        <v>46117.427083333328</v>
      </c>
      <c r="D284" s="79">
        <f>D283</f>
        <v>46117.434027777774</v>
      </c>
      <c r="E284" s="78" t="str">
        <f t="shared" si="59"/>
        <v>Group</v>
      </c>
      <c r="F284" s="78">
        <f t="shared" si="54"/>
        <v>2</v>
      </c>
      <c r="G284" s="78">
        <v>4</v>
      </c>
      <c r="H284" s="78" t="str">
        <f ca="1">IF(OR(S284="",T284=""),"",IFERROR(_xludf.XLOOKUP(S284,'Registrations'!#REF!,'Registrations'!#REF!,_xludf.XLOOKUP(S284,'Registrations'!$B$4:$B$211,'Registrations'!$E$4:$E$211,S284)),S284) &amp; " vs " &amp; IFERROR(_xludf.XLOOKUP(T284,'Registrations'!#REF!,'Registrations'!#REF!,_xludf.XLOOKUP(T284,'Registrations'!$B$4:$B$211,'Registrations'!$E$4:$E$211,T284)),T284))</f>
        <v>0 vs 0</v>
      </c>
      <c r="I284" s="78"/>
      <c r="J284" s="78"/>
      <c r="K284" s="78">
        <f>IF(Schedules[[#This Row],[Player 2]]="",Schedules[[#This Row],[Player 1]],Schedules[[#This Row],[Player 1]]&amp;" / "&amp;Schedules[[#This Row],[Player 2]])</f>
        <v>0</v>
      </c>
      <c r="L284" s="78">
        <v>15</v>
      </c>
      <c r="M284" s="78" t="str">
        <f t="shared" si="57"/>
        <v>WIN</v>
      </c>
      <c r="N284" s="78"/>
      <c r="O284" s="78"/>
      <c r="P284" s="78">
        <f>IF(Schedules[[#This Row],[Player 4]]="",Schedules[[#This Row],[Player 3]],Schedules[[#This Row],[Player 3]]&amp;" / "&amp;Schedules[[#This Row],[Player 4]])</f>
        <v>0</v>
      </c>
      <c r="Q284" s="78">
        <v>10</v>
      </c>
      <c r="R284" s="78" t="str">
        <f t="shared" si="58"/>
        <v>LOST</v>
      </c>
      <c r="S284" s="61">
        <f>Input!D72</f>
        <v>0</v>
      </c>
      <c r="T284" s="61">
        <f>Input!E72</f>
        <v>0</v>
      </c>
    </row>
    <row r="285" spans="1:20" hidden="1" x14ac:dyDescent="0.3">
      <c r="A285" s="109" t="s">
        <v>51</v>
      </c>
      <c r="B285" s="78" t="s">
        <v>67</v>
      </c>
      <c r="C285" s="79">
        <f>C284</f>
        <v>46117.427083333328</v>
      </c>
      <c r="D285" s="79">
        <f>D284</f>
        <v>46117.434027777774</v>
      </c>
      <c r="E285" s="78" t="str">
        <f t="shared" si="59"/>
        <v>Group</v>
      </c>
      <c r="F285" s="78">
        <f t="shared" si="54"/>
        <v>3</v>
      </c>
      <c r="G285" s="78">
        <v>4</v>
      </c>
      <c r="H285" s="78" t="str">
        <f ca="1">IF(OR(S285="",T285=""),"",IFERROR(_xludf.XLOOKUP(S285,'Registrations'!#REF!,'Registrations'!#REF!,_xludf.XLOOKUP(S285,'Registrations'!$B$4:$B$211,'Registrations'!$E$4:$E$211,S285)),S285) &amp; " vs " &amp; IFERROR(_xludf.XLOOKUP(T285,'Registrations'!#REF!,'Registrations'!#REF!,_xludf.XLOOKUP(T285,'Registrations'!$B$4:$B$211,'Registrations'!$E$4:$E$211,T285)),T285))</f>
        <v>0 vs 0</v>
      </c>
      <c r="I285" s="78"/>
      <c r="J285" s="78"/>
      <c r="K285" s="78">
        <f>IF(Schedules[[#This Row],[Player 2]]="",Schedules[[#This Row],[Player 1]],Schedules[[#This Row],[Player 1]]&amp;" / "&amp;Schedules[[#This Row],[Player 2]])</f>
        <v>0</v>
      </c>
      <c r="L285" s="78">
        <v>15</v>
      </c>
      <c r="M285" s="78" t="str">
        <f t="shared" si="57"/>
        <v>WIN</v>
      </c>
      <c r="N285" s="78"/>
      <c r="O285" s="78"/>
      <c r="P285" s="78">
        <f>IF(Schedules[[#This Row],[Player 4]]="",Schedules[[#This Row],[Player 3]],Schedules[[#This Row],[Player 3]]&amp;" / "&amp;Schedules[[#This Row],[Player 4]])</f>
        <v>0</v>
      </c>
      <c r="Q285" s="78">
        <v>10</v>
      </c>
      <c r="R285" s="78" t="str">
        <f t="shared" si="58"/>
        <v>LOST</v>
      </c>
      <c r="S285" s="61">
        <f>Input!B72</f>
        <v>0</v>
      </c>
      <c r="T285" s="61">
        <f>Input!D72</f>
        <v>0</v>
      </c>
    </row>
    <row r="286" spans="1:20" hidden="1" x14ac:dyDescent="0.3">
      <c r="A286" s="109" t="s">
        <v>51</v>
      </c>
      <c r="B286" s="78" t="s">
        <v>67</v>
      </c>
      <c r="C286" s="79">
        <f>D285+TIME(0,3,0)</f>
        <v>46117.436111111107</v>
      </c>
      <c r="D286" s="79">
        <f>C286+TIME(0,10,0)</f>
        <v>46117.443055555552</v>
      </c>
      <c r="E286" s="78" t="str">
        <f t="shared" si="59"/>
        <v>Group</v>
      </c>
      <c r="F286" s="78">
        <f t="shared" si="54"/>
        <v>1</v>
      </c>
      <c r="G286" s="78">
        <v>4</v>
      </c>
      <c r="H286" s="78" t="str">
        <f ca="1">IF(OR(S286="",T286=""),"",IFERROR(_xludf.XLOOKUP(S286,'Registrations'!#REF!,'Registrations'!#REF!,_xludf.XLOOKUP(S286,'Registrations'!$B$4:$B$211,'Registrations'!$E$4:$E$211,S286)),S286) &amp; " vs " &amp; IFERROR(_xludf.XLOOKUP(T286,'Registrations'!#REF!,'Registrations'!#REF!,_xludf.XLOOKUP(T286,'Registrations'!$B$4:$B$211,'Registrations'!$E$4:$E$211,T286)),T286))</f>
        <v>0 vs 0</v>
      </c>
      <c r="I286" s="78"/>
      <c r="J286" s="78"/>
      <c r="K286" s="78">
        <f>IF(Schedules[[#This Row],[Player 2]]="",Schedules[[#This Row],[Player 1]],Schedules[[#This Row],[Player 1]]&amp;" / "&amp;Schedules[[#This Row],[Player 2]])</f>
        <v>0</v>
      </c>
      <c r="L286" s="78">
        <v>15</v>
      </c>
      <c r="M286" s="78" t="str">
        <f t="shared" si="57"/>
        <v>WIN</v>
      </c>
      <c r="N286" s="78"/>
      <c r="O286" s="78"/>
      <c r="P286" s="78">
        <f>IF(Schedules[[#This Row],[Player 4]]="",Schedules[[#This Row],[Player 3]],Schedules[[#This Row],[Player 3]]&amp;" / "&amp;Schedules[[#This Row],[Player 4]])</f>
        <v>0</v>
      </c>
      <c r="Q286" s="78">
        <v>10</v>
      </c>
      <c r="R286" s="78" t="str">
        <f t="shared" si="58"/>
        <v>LOST</v>
      </c>
      <c r="S286" s="61">
        <f>Input!C72</f>
        <v>0</v>
      </c>
      <c r="T286" s="61">
        <f>Input!E72</f>
        <v>0</v>
      </c>
    </row>
    <row r="287" spans="1:20" hidden="1" x14ac:dyDescent="0.3">
      <c r="A287" s="109" t="s">
        <v>51</v>
      </c>
      <c r="B287" s="78" t="s">
        <v>67</v>
      </c>
      <c r="C287" s="79">
        <f>C286</f>
        <v>46117.436111111107</v>
      </c>
      <c r="D287" s="79">
        <f>D286</f>
        <v>46117.443055555552</v>
      </c>
      <c r="E287" s="78" t="str">
        <f t="shared" si="59"/>
        <v>Group</v>
      </c>
      <c r="F287" s="78">
        <f t="shared" si="54"/>
        <v>2</v>
      </c>
      <c r="G287" s="78">
        <v>3</v>
      </c>
      <c r="H287" s="78" t="str">
        <f ca="1">IF(OR(S287="",T287=""),"",IFERROR(_xludf.XLOOKUP(S287,'Registrations'!#REF!,'Registrations'!#REF!,_xludf.XLOOKUP(S287,'Registrations'!$B$4:$B$211,'Registrations'!$E$4:$E$211,S287)),S287) &amp; " vs " &amp; IFERROR(_xludf.XLOOKUP(T287,'Registrations'!#REF!,'Registrations'!#REF!,_xludf.XLOOKUP(T287,'Registrations'!$B$4:$B$211,'Registrations'!$E$4:$E$211,T287)),T287))</f>
        <v>0 vs 0</v>
      </c>
      <c r="I287" s="78"/>
      <c r="J287" s="78"/>
      <c r="K287" s="78">
        <f>IF(Schedules[[#This Row],[Player 2]]="",Schedules[[#This Row],[Player 1]],Schedules[[#This Row],[Player 1]]&amp;" / "&amp;Schedules[[#This Row],[Player 2]])</f>
        <v>0</v>
      </c>
      <c r="L287" s="78">
        <v>15</v>
      </c>
      <c r="M287" s="78" t="str">
        <f t="shared" si="57"/>
        <v>WIN</v>
      </c>
      <c r="N287" s="78"/>
      <c r="O287" s="78"/>
      <c r="P287" s="78">
        <f>IF(Schedules[[#This Row],[Player 4]]="",Schedules[[#This Row],[Player 3]],Schedules[[#This Row],[Player 3]]&amp;" / "&amp;Schedules[[#This Row],[Player 4]])</f>
        <v>0</v>
      </c>
      <c r="Q287" s="78">
        <v>10</v>
      </c>
      <c r="R287" s="78" t="str">
        <f t="shared" si="58"/>
        <v>LOST</v>
      </c>
      <c r="S287" s="61">
        <f>Input!B71</f>
        <v>0</v>
      </c>
      <c r="T287" s="61">
        <f>Input!E71</f>
        <v>0</v>
      </c>
    </row>
    <row r="288" spans="1:20" hidden="1" x14ac:dyDescent="0.3">
      <c r="A288" s="109" t="s">
        <v>51</v>
      </c>
      <c r="B288" s="78" t="s">
        <v>67</v>
      </c>
      <c r="C288" s="79">
        <f>C287</f>
        <v>46117.436111111107</v>
      </c>
      <c r="D288" s="79">
        <f>D287</f>
        <v>46117.443055555552</v>
      </c>
      <c r="E288" s="78" t="str">
        <f t="shared" si="59"/>
        <v>Group</v>
      </c>
      <c r="F288" s="78">
        <f t="shared" ref="F288:F319" si="60">F285</f>
        <v>3</v>
      </c>
      <c r="G288" s="78">
        <v>4</v>
      </c>
      <c r="H288" s="78" t="str">
        <f ca="1">IF(OR(S288="",T288=""),"",IFERROR(_xludf.XLOOKUP(S288,'Registrations'!#REF!,'Registrations'!#REF!,_xludf.XLOOKUP(S288,'Registrations'!$B$4:$B$211,'Registrations'!$E$4:$E$211,S288)),S288) &amp; " vs " &amp; IFERROR(_xludf.XLOOKUP(T288,'Registrations'!#REF!,'Registrations'!#REF!,_xludf.XLOOKUP(T288,'Registrations'!$B$4:$B$211,'Registrations'!$E$4:$E$211,T288)),T288))</f>
        <v>0 vs 0</v>
      </c>
      <c r="I288" s="78"/>
      <c r="J288" s="78"/>
      <c r="K288" s="78">
        <f>IF(Schedules[[#This Row],[Player 2]]="",Schedules[[#This Row],[Player 1]],Schedules[[#This Row],[Player 1]]&amp;" / "&amp;Schedules[[#This Row],[Player 2]])</f>
        <v>0</v>
      </c>
      <c r="L288" s="78">
        <v>15</v>
      </c>
      <c r="M288" s="78" t="str">
        <f t="shared" si="57"/>
        <v>WIN</v>
      </c>
      <c r="N288" s="78"/>
      <c r="O288" s="78"/>
      <c r="P288" s="78">
        <f>IF(Schedules[[#This Row],[Player 4]]="",Schedules[[#This Row],[Player 3]],Schedules[[#This Row],[Player 3]]&amp;" / "&amp;Schedules[[#This Row],[Player 4]])</f>
        <v>0</v>
      </c>
      <c r="Q288" s="78">
        <v>10</v>
      </c>
      <c r="R288" s="78" t="str">
        <f t="shared" si="58"/>
        <v>LOST</v>
      </c>
      <c r="S288" s="61">
        <f>Input!B72</f>
        <v>0</v>
      </c>
      <c r="T288" s="61">
        <f>Input!E72</f>
        <v>0</v>
      </c>
    </row>
    <row r="289" spans="1:20" hidden="1" x14ac:dyDescent="0.3">
      <c r="A289" s="109" t="s">
        <v>51</v>
      </c>
      <c r="B289" s="78" t="s">
        <v>67</v>
      </c>
      <c r="C289" s="79">
        <f>D288+TIME(0,3,0)</f>
        <v>46117.445138888885</v>
      </c>
      <c r="D289" s="79">
        <f>C289+TIME(0,10,0)</f>
        <v>46117.45208333333</v>
      </c>
      <c r="E289" s="78" t="s">
        <v>433</v>
      </c>
      <c r="F289" s="78">
        <f t="shared" si="60"/>
        <v>1</v>
      </c>
      <c r="G289" s="78">
        <v>4</v>
      </c>
      <c r="H289" s="78" t="str">
        <f ca="1">IF(OR(S289="",T289=""),"",IFERROR(_xludf.XLOOKUP(S289,'Registrations'!#REF!,'Registrations'!#REF!,_xludf.XLOOKUP(S289,'Registrations'!$B$4:$B$211,'Registrations'!$E$4:$E$211,S289)),S289) &amp; " vs " &amp; IFERROR(_xludf.XLOOKUP(T289,'Registrations'!#REF!,'Registrations'!#REF!,_xludf.XLOOKUP(T289,'Registrations'!$B$4:$B$211,'Registrations'!$E$4:$E$211,T289)),T289))</f>
        <v>0 vs 0</v>
      </c>
      <c r="I289" s="78"/>
      <c r="J289" s="78"/>
      <c r="K289" s="78">
        <f>IF(Schedules[[#This Row],[Player 2]]="",Schedules[[#This Row],[Player 1]],Schedules[[#This Row],[Player 1]]&amp;" / "&amp;Schedules[[#This Row],[Player 2]])</f>
        <v>0</v>
      </c>
      <c r="L289" s="78">
        <v>15</v>
      </c>
      <c r="M289" s="78" t="str">
        <f t="shared" si="57"/>
        <v>WIN</v>
      </c>
      <c r="N289" s="78"/>
      <c r="O289" s="78"/>
      <c r="P289" s="78">
        <f>IF(Schedules[[#This Row],[Player 4]]="",Schedules[[#This Row],[Player 3]],Schedules[[#This Row],[Player 3]]&amp;" / "&amp;Schedules[[#This Row],[Player 4]])</f>
        <v>0</v>
      </c>
      <c r="Q289" s="78">
        <v>10</v>
      </c>
      <c r="R289" s="78" t="str">
        <f t="shared" si="58"/>
        <v>LOST</v>
      </c>
      <c r="S289" s="61">
        <f>Input!C72</f>
        <v>0</v>
      </c>
      <c r="T289" s="61">
        <f>Input!D72</f>
        <v>0</v>
      </c>
    </row>
    <row r="290" spans="1:20" hidden="1" x14ac:dyDescent="0.3">
      <c r="A290" s="109" t="s">
        <v>51</v>
      </c>
      <c r="B290" s="78" t="s">
        <v>67</v>
      </c>
      <c r="C290" s="79">
        <f>C289</f>
        <v>46117.445138888885</v>
      </c>
      <c r="D290" s="79">
        <f>D289</f>
        <v>46117.45208333333</v>
      </c>
      <c r="E290" s="78" t="str">
        <f>E289</f>
        <v>Group</v>
      </c>
      <c r="F290" s="78">
        <f t="shared" si="60"/>
        <v>2</v>
      </c>
      <c r="G290" s="78">
        <v>3</v>
      </c>
      <c r="H290" s="78" t="str">
        <f ca="1">IF(OR(S290="",T290=""),"",IFERROR(_xludf.XLOOKUP(S290,'Registrations'!#REF!,'Registrations'!#REF!,_xludf.XLOOKUP(S290,'Registrations'!$B$4:$B$211,'Registrations'!$E$4:$E$211,S290)),S290) &amp; " vs " &amp; IFERROR(_xludf.XLOOKUP(T290,'Registrations'!#REF!,'Registrations'!#REF!,_xludf.XLOOKUP(T290,'Registrations'!$B$4:$B$211,'Registrations'!$E$4:$E$211,T290)),T290))</f>
        <v>0 vs 0</v>
      </c>
      <c r="I290" s="78"/>
      <c r="J290" s="78"/>
      <c r="K290" s="78">
        <f>IF(Schedules[[#This Row],[Player 2]]="",Schedules[[#This Row],[Player 1]],Schedules[[#This Row],[Player 1]]&amp;" / "&amp;Schedules[[#This Row],[Player 2]])</f>
        <v>0</v>
      </c>
      <c r="L290" s="78">
        <v>15</v>
      </c>
      <c r="M290" s="78" t="str">
        <f t="shared" si="57"/>
        <v>WIN</v>
      </c>
      <c r="N290" s="78"/>
      <c r="O290" s="78"/>
      <c r="P290" s="78">
        <f>IF(Schedules[[#This Row],[Player 4]]="",Schedules[[#This Row],[Player 3]],Schedules[[#This Row],[Player 3]]&amp;" / "&amp;Schedules[[#This Row],[Player 4]])</f>
        <v>0</v>
      </c>
      <c r="Q290" s="78">
        <v>10</v>
      </c>
      <c r="R290" s="78" t="str">
        <f t="shared" si="58"/>
        <v>LOST</v>
      </c>
      <c r="S290" s="61">
        <f>Input!C71</f>
        <v>0</v>
      </c>
      <c r="T290" s="61">
        <f>Input!D71</f>
        <v>0</v>
      </c>
    </row>
    <row r="291" spans="1:20" hidden="1" x14ac:dyDescent="0.3">
      <c r="A291" s="110" t="s">
        <v>51</v>
      </c>
      <c r="B291" s="76" t="s">
        <v>67</v>
      </c>
      <c r="C291" s="77">
        <f>C290</f>
        <v>46117.445138888885</v>
      </c>
      <c r="D291" s="77">
        <f>D290</f>
        <v>46117.45208333333</v>
      </c>
      <c r="E291" s="76" t="s">
        <v>432</v>
      </c>
      <c r="F291" s="76">
        <f t="shared" si="60"/>
        <v>3</v>
      </c>
      <c r="G291" s="76" t="s">
        <v>430</v>
      </c>
      <c r="H291" s="76" t="str">
        <f ca="1">IF(OR(S291="",T291=""),"",IFERROR(_xludf.XLOOKUP(S291,'Registrations'!#REF!,'Registrations'!#REF!,_xludf.XLOOKUP(S291,'Registrations'!$B$4:$B$211,'Registrations'!$E$4:$E$211,S291)),S291) &amp; " vs " &amp; IFERROR(_xludf.XLOOKUP(T291,'Registrations'!#REF!,'Registrations'!#REF!,_xludf.XLOOKUP(T291,'Registrations'!$B$4:$B$211,'Registrations'!$E$4:$E$211,T291)),T291))</f>
        <v>0 vs 0</v>
      </c>
      <c r="I291" s="76"/>
      <c r="J291" s="76"/>
      <c r="K291" s="76">
        <f>IF(Schedules[[#This Row],[Player 2]]="",Schedules[[#This Row],[Player 1]],Schedules[[#This Row],[Player 1]]&amp;" / "&amp;Schedules[[#This Row],[Player 2]])</f>
        <v>0</v>
      </c>
      <c r="L291" s="76">
        <v>15</v>
      </c>
      <c r="M291" s="76" t="str">
        <f t="shared" si="57"/>
        <v>WIN</v>
      </c>
      <c r="N291" s="76"/>
      <c r="O291" s="76"/>
      <c r="P291" s="76">
        <f>IF(Schedules[[#This Row],[Player 4]]="",Schedules[[#This Row],[Player 3]],Schedules[[#This Row],[Player 3]]&amp;" / "&amp;Schedules[[#This Row],[Player 4]])</f>
        <v>0</v>
      </c>
      <c r="Q291" s="76">
        <v>10</v>
      </c>
      <c r="R291" s="76" t="str">
        <f t="shared" si="58"/>
        <v>LOST</v>
      </c>
      <c r="S291" s="61">
        <f>Input!H71</f>
        <v>0</v>
      </c>
      <c r="T291" s="61">
        <f>Input!I71</f>
        <v>0</v>
      </c>
    </row>
    <row r="292" spans="1:20" hidden="1" x14ac:dyDescent="0.3">
      <c r="A292" s="110" t="s">
        <v>51</v>
      </c>
      <c r="B292" s="76" t="s">
        <v>67</v>
      </c>
      <c r="C292" s="77">
        <f>D291+TIME(0,3,0)</f>
        <v>46117.454166666663</v>
      </c>
      <c r="D292" s="77">
        <f>C292+TIME(0,10,0)</f>
        <v>46117.461111111108</v>
      </c>
      <c r="E292" s="76" t="str">
        <f>E291</f>
        <v>Pre-Q</v>
      </c>
      <c r="F292" s="76">
        <f t="shared" si="60"/>
        <v>1</v>
      </c>
      <c r="G292" s="76" t="str">
        <f>G291</f>
        <v>3 vs 4</v>
      </c>
      <c r="H292" s="76" t="str">
        <f ca="1">IF(OR(S292="",T292=""),"",IFERROR(_xludf.XLOOKUP(S292,'Registrations'!#REF!,'Registrations'!#REF!,_xludf.XLOOKUP(S292,'Registrations'!$B$4:$B$211,'Registrations'!$E$4:$E$211,S292)),S292) &amp; " vs " &amp; IFERROR(_xludf.XLOOKUP(T292,'Registrations'!#REF!,'Registrations'!#REF!,_xludf.XLOOKUP(T292,'Registrations'!$B$4:$B$211,'Registrations'!$E$4:$E$211,T292)),T292))</f>
        <v>0 vs 0</v>
      </c>
      <c r="I292" s="76"/>
      <c r="J292" s="76"/>
      <c r="K292" s="76">
        <f>IF(Schedules[[#This Row],[Player 2]]="",Schedules[[#This Row],[Player 1]],Schedules[[#This Row],[Player 1]]&amp;" / "&amp;Schedules[[#This Row],[Player 2]])</f>
        <v>0</v>
      </c>
      <c r="L292" s="76">
        <v>15</v>
      </c>
      <c r="M292" s="76" t="str">
        <f t="shared" si="57"/>
        <v>WIN</v>
      </c>
      <c r="N292" s="76"/>
      <c r="O292" s="76"/>
      <c r="P292" s="76">
        <f>IF(Schedules[[#This Row],[Player 4]]="",Schedules[[#This Row],[Player 3]],Schedules[[#This Row],[Player 3]]&amp;" / "&amp;Schedules[[#This Row],[Player 4]])</f>
        <v>0</v>
      </c>
      <c r="Q292" s="76">
        <v>10</v>
      </c>
      <c r="R292" s="76" t="str">
        <f t="shared" si="58"/>
        <v>LOST</v>
      </c>
      <c r="S292" s="61">
        <f>Input!H72</f>
        <v>0</v>
      </c>
      <c r="T292" s="61">
        <f>Input!I72</f>
        <v>0</v>
      </c>
    </row>
    <row r="293" spans="1:20" hidden="1" x14ac:dyDescent="0.3">
      <c r="A293" s="109" t="s">
        <v>51</v>
      </c>
      <c r="B293" s="78" t="s">
        <v>67</v>
      </c>
      <c r="C293" s="79">
        <f>C292</f>
        <v>46117.454166666663</v>
      </c>
      <c r="D293" s="79">
        <f>D292</f>
        <v>46117.461111111108</v>
      </c>
      <c r="E293" s="78" t="s">
        <v>433</v>
      </c>
      <c r="F293" s="78">
        <f t="shared" si="60"/>
        <v>2</v>
      </c>
      <c r="G293" s="78">
        <v>5</v>
      </c>
      <c r="H293" s="78" t="str">
        <f ca="1">IF(OR(S293="",T293=""),"",IFERROR(_xludf.XLOOKUP(S293,'Registrations'!#REF!,'Registrations'!#REF!,_xludf.XLOOKUP(S293,'Registrations'!$B$4:$B$211,'Registrations'!$E$4:$E$211,S293)),S293) &amp; " vs " &amp; IFERROR(_xludf.XLOOKUP(T293,'Registrations'!#REF!,'Registrations'!#REF!,_xludf.XLOOKUP(T293,'Registrations'!$B$4:$B$211,'Registrations'!$E$4:$E$211,T293)),T293))</f>
        <v>0 vs 0</v>
      </c>
      <c r="I293" s="78"/>
      <c r="J293" s="78"/>
      <c r="K293" s="78">
        <f>IF(Schedules[[#This Row],[Player 2]]="",Schedules[[#This Row],[Player 1]],Schedules[[#This Row],[Player 1]]&amp;" / "&amp;Schedules[[#This Row],[Player 2]])</f>
        <v>0</v>
      </c>
      <c r="L293" s="78">
        <v>15</v>
      </c>
      <c r="M293" s="78" t="str">
        <f t="shared" si="57"/>
        <v>WIN</v>
      </c>
      <c r="N293" s="78"/>
      <c r="O293" s="78"/>
      <c r="P293" s="78">
        <f>IF(Schedules[[#This Row],[Player 4]]="",Schedules[[#This Row],[Player 3]],Schedules[[#This Row],[Player 3]]&amp;" / "&amp;Schedules[[#This Row],[Player 4]])</f>
        <v>0</v>
      </c>
      <c r="Q293" s="78">
        <v>10</v>
      </c>
      <c r="R293" s="78" t="str">
        <f t="shared" si="58"/>
        <v>LOST</v>
      </c>
      <c r="S293" s="61">
        <f>Input!B73</f>
        <v>0</v>
      </c>
      <c r="T293" s="61">
        <f>Input!C73</f>
        <v>0</v>
      </c>
    </row>
    <row r="294" spans="1:20" hidden="1" x14ac:dyDescent="0.3">
      <c r="A294" s="109" t="s">
        <v>51</v>
      </c>
      <c r="B294" s="78" t="s">
        <v>67</v>
      </c>
      <c r="C294" s="79">
        <f>C293</f>
        <v>46117.454166666663</v>
      </c>
      <c r="D294" s="79">
        <f>D293</f>
        <v>46117.461111111108</v>
      </c>
      <c r="E294" s="78" t="str">
        <f>E293</f>
        <v>Group</v>
      </c>
      <c r="F294" s="78">
        <f t="shared" si="60"/>
        <v>3</v>
      </c>
      <c r="G294" s="78">
        <v>5</v>
      </c>
      <c r="H294" s="78" t="str">
        <f ca="1">IF(OR(S294="",T294=""),"",IFERROR(_xludf.XLOOKUP(S294,'Registrations'!#REF!,'Registrations'!#REF!,_xludf.XLOOKUP(S294,'Registrations'!$B$4:$B$211,'Registrations'!$E$4:$E$211,S294)),S294) &amp; " vs " &amp; IFERROR(_xludf.XLOOKUP(T294,'Registrations'!#REF!,'Registrations'!#REF!,_xludf.XLOOKUP(T294,'Registrations'!$B$4:$B$211,'Registrations'!$E$4:$E$211,T294)),T294))</f>
        <v>0 vs 0</v>
      </c>
      <c r="I294" s="78"/>
      <c r="J294" s="78"/>
      <c r="K294" s="78">
        <f>IF(Schedules[[#This Row],[Player 2]]="",Schedules[[#This Row],[Player 1]],Schedules[[#This Row],[Player 1]]&amp;" / "&amp;Schedules[[#This Row],[Player 2]])</f>
        <v>0</v>
      </c>
      <c r="L294" s="78">
        <v>15</v>
      </c>
      <c r="M294" s="78" t="str">
        <f t="shared" si="57"/>
        <v>WIN</v>
      </c>
      <c r="N294" s="78"/>
      <c r="O294" s="78"/>
      <c r="P294" s="78">
        <f>IF(Schedules[[#This Row],[Player 4]]="",Schedules[[#This Row],[Player 3]],Schedules[[#This Row],[Player 3]]&amp;" / "&amp;Schedules[[#This Row],[Player 4]])</f>
        <v>0</v>
      </c>
      <c r="Q294" s="78">
        <v>10</v>
      </c>
      <c r="R294" s="78" t="str">
        <f t="shared" si="58"/>
        <v>LOST</v>
      </c>
      <c r="S294" s="61">
        <f>Input!D73</f>
        <v>0</v>
      </c>
      <c r="T294" s="61">
        <f>Input!E73</f>
        <v>0</v>
      </c>
    </row>
    <row r="295" spans="1:20" hidden="1" x14ac:dyDescent="0.3">
      <c r="A295" s="109" t="s">
        <v>51</v>
      </c>
      <c r="B295" s="78" t="s">
        <v>67</v>
      </c>
      <c r="C295" s="79">
        <f>D294+TIME(0,3,0)</f>
        <v>46117.463194444441</v>
      </c>
      <c r="D295" s="79">
        <f>C295+TIME(0,10,0)</f>
        <v>46117.470138888886</v>
      </c>
      <c r="E295" s="78" t="s">
        <v>433</v>
      </c>
      <c r="F295" s="78">
        <f t="shared" si="60"/>
        <v>1</v>
      </c>
      <c r="G295" s="78">
        <v>6</v>
      </c>
      <c r="H295" s="78" t="str">
        <f ca="1">IF(OR(S295="",T295=""),"",IFERROR(_xludf.XLOOKUP(S295,'Registrations'!#REF!,'Registrations'!#REF!,_xludf.XLOOKUP(S295,'Registrations'!$B$4:$B$211,'Registrations'!$E$4:$E$211,S295)),S295) &amp; " vs " &amp; IFERROR(_xludf.XLOOKUP(T295,'Registrations'!#REF!,'Registrations'!#REF!,_xludf.XLOOKUP(T295,'Registrations'!$B$4:$B$211,'Registrations'!$E$4:$E$211,T295)),T295))</f>
        <v>0 vs 0</v>
      </c>
      <c r="I295" s="78"/>
      <c r="J295" s="78"/>
      <c r="K295" s="78">
        <f>IF(Schedules[[#This Row],[Player 2]]="",Schedules[[#This Row],[Player 1]],Schedules[[#This Row],[Player 1]]&amp;" / "&amp;Schedules[[#This Row],[Player 2]])</f>
        <v>0</v>
      </c>
      <c r="L295" s="78">
        <v>15</v>
      </c>
      <c r="M295" s="78" t="str">
        <f t="shared" si="57"/>
        <v>WIN</v>
      </c>
      <c r="N295" s="78"/>
      <c r="O295" s="78"/>
      <c r="P295" s="78">
        <f>IF(Schedules[[#This Row],[Player 4]]="",Schedules[[#This Row],[Player 3]],Schedules[[#This Row],[Player 3]]&amp;" / "&amp;Schedules[[#This Row],[Player 4]])</f>
        <v>0</v>
      </c>
      <c r="Q295" s="78">
        <v>10</v>
      </c>
      <c r="R295" s="78" t="str">
        <f t="shared" si="58"/>
        <v>LOST</v>
      </c>
      <c r="S295" s="61">
        <f>Input!B74</f>
        <v>0</v>
      </c>
      <c r="T295" s="61">
        <f>Input!C74</f>
        <v>0</v>
      </c>
    </row>
    <row r="296" spans="1:20" hidden="1" x14ac:dyDescent="0.3">
      <c r="A296" s="109" t="s">
        <v>51</v>
      </c>
      <c r="B296" s="78" t="s">
        <v>67</v>
      </c>
      <c r="C296" s="79">
        <f t="shared" ref="C296:E297" si="61">C295</f>
        <v>46117.463194444441</v>
      </c>
      <c r="D296" s="79">
        <f t="shared" si="61"/>
        <v>46117.470138888886</v>
      </c>
      <c r="E296" s="78" t="str">
        <f t="shared" si="61"/>
        <v>Group</v>
      </c>
      <c r="F296" s="78">
        <f t="shared" si="60"/>
        <v>2</v>
      </c>
      <c r="G296" s="78">
        <v>5</v>
      </c>
      <c r="H296" s="78" t="str">
        <f ca="1">IF(OR(S296="",T296=""),"",IFERROR(_xludf.XLOOKUP(S296,'Registrations'!#REF!,'Registrations'!#REF!,_xludf.XLOOKUP(S296,'Registrations'!$B$4:$B$211,'Registrations'!$E$4:$E$211,S296)),S296) &amp; " vs " &amp; IFERROR(_xludf.XLOOKUP(T296,'Registrations'!#REF!,'Registrations'!#REF!,_xludf.XLOOKUP(T296,'Registrations'!$B$4:$B$211,'Registrations'!$E$4:$E$211,T296)),T296))</f>
        <v>0 vs 0</v>
      </c>
      <c r="I296" s="78"/>
      <c r="J296" s="78"/>
      <c r="K296" s="78">
        <f>IF(Schedules[[#This Row],[Player 2]]="",Schedules[[#This Row],[Player 1]],Schedules[[#This Row],[Player 1]]&amp;" / "&amp;Schedules[[#This Row],[Player 2]])</f>
        <v>0</v>
      </c>
      <c r="L296" s="78">
        <v>15</v>
      </c>
      <c r="M296" s="78" t="str">
        <f t="shared" si="57"/>
        <v>WIN</v>
      </c>
      <c r="N296" s="78"/>
      <c r="O296" s="78"/>
      <c r="P296" s="78">
        <f>IF(Schedules[[#This Row],[Player 4]]="",Schedules[[#This Row],[Player 3]],Schedules[[#This Row],[Player 3]]&amp;" / "&amp;Schedules[[#This Row],[Player 4]])</f>
        <v>0</v>
      </c>
      <c r="Q296" s="78">
        <v>10</v>
      </c>
      <c r="R296" s="78" t="str">
        <f t="shared" si="58"/>
        <v>LOST</v>
      </c>
      <c r="S296" s="61">
        <f>Input!B73</f>
        <v>0</v>
      </c>
      <c r="T296" s="61">
        <f>Input!D73</f>
        <v>0</v>
      </c>
    </row>
    <row r="297" spans="1:20" hidden="1" x14ac:dyDescent="0.3">
      <c r="A297" s="109" t="s">
        <v>51</v>
      </c>
      <c r="B297" s="78" t="s">
        <v>67</v>
      </c>
      <c r="C297" s="79">
        <f t="shared" si="61"/>
        <v>46117.463194444441</v>
      </c>
      <c r="D297" s="79">
        <f t="shared" si="61"/>
        <v>46117.470138888886</v>
      </c>
      <c r="E297" s="78" t="str">
        <f t="shared" si="61"/>
        <v>Group</v>
      </c>
      <c r="F297" s="78">
        <f t="shared" si="60"/>
        <v>3</v>
      </c>
      <c r="G297" s="78">
        <v>5</v>
      </c>
      <c r="H297" s="78" t="str">
        <f ca="1">IF(OR(S297="",T297=""),"",IFERROR(_xludf.XLOOKUP(S297,'Registrations'!#REF!,'Registrations'!#REF!,_xludf.XLOOKUP(S297,'Registrations'!$B$4:$B$211,'Registrations'!$E$4:$E$211,S297)),S297) &amp; " vs " &amp; IFERROR(_xludf.XLOOKUP(T297,'Registrations'!#REF!,'Registrations'!#REF!,_xludf.XLOOKUP(T297,'Registrations'!$B$4:$B$211,'Registrations'!$E$4:$E$211,T297)),T297))</f>
        <v>0 vs 0</v>
      </c>
      <c r="I297" s="78"/>
      <c r="J297" s="78"/>
      <c r="K297" s="78">
        <f>IF(Schedules[[#This Row],[Player 2]]="",Schedules[[#This Row],[Player 1]],Schedules[[#This Row],[Player 1]]&amp;" / "&amp;Schedules[[#This Row],[Player 2]])</f>
        <v>0</v>
      </c>
      <c r="L297" s="78">
        <v>15</v>
      </c>
      <c r="M297" s="78" t="str">
        <f t="shared" si="57"/>
        <v>WIN</v>
      </c>
      <c r="N297" s="78"/>
      <c r="O297" s="78"/>
      <c r="P297" s="78">
        <f>IF(Schedules[[#This Row],[Player 4]]="",Schedules[[#This Row],[Player 3]],Schedules[[#This Row],[Player 3]]&amp;" / "&amp;Schedules[[#This Row],[Player 4]])</f>
        <v>0</v>
      </c>
      <c r="Q297" s="78">
        <v>10</v>
      </c>
      <c r="R297" s="78" t="str">
        <f t="shared" si="58"/>
        <v>LOST</v>
      </c>
      <c r="S297" s="61">
        <f>Input!C73</f>
        <v>0</v>
      </c>
      <c r="T297" s="61">
        <f>Input!E73</f>
        <v>0</v>
      </c>
    </row>
    <row r="298" spans="1:20" hidden="1" x14ac:dyDescent="0.3">
      <c r="A298" s="109" t="s">
        <v>51</v>
      </c>
      <c r="B298" s="78" t="s">
        <v>67</v>
      </c>
      <c r="C298" s="79">
        <f>D297+TIME(0,3,0)</f>
        <v>46117.472222222219</v>
      </c>
      <c r="D298" s="79">
        <f>C298+TIME(0,10,0)</f>
        <v>46117.479166666664</v>
      </c>
      <c r="E298" s="78" t="s">
        <v>433</v>
      </c>
      <c r="F298" s="78">
        <f t="shared" si="60"/>
        <v>1</v>
      </c>
      <c r="G298" s="78">
        <v>6</v>
      </c>
      <c r="H298" s="78" t="str">
        <f ca="1">IF(OR(S298="",T298=""),"",IFERROR(_xludf.XLOOKUP(S298,'Registrations'!#REF!,'Registrations'!#REF!,_xludf.XLOOKUP(S298,'Registrations'!$B$4:$B$211,'Registrations'!$E$4:$E$211,S298)),S298) &amp; " vs " &amp; IFERROR(_xludf.XLOOKUP(T298,'Registrations'!#REF!,'Registrations'!#REF!,_xludf.XLOOKUP(T298,'Registrations'!$B$4:$B$211,'Registrations'!$E$4:$E$211,T298)),T298))</f>
        <v>0 vs 0</v>
      </c>
      <c r="I298" s="78"/>
      <c r="J298" s="78"/>
      <c r="K298" s="78">
        <f>IF(Schedules[[#This Row],[Player 2]]="",Schedules[[#This Row],[Player 1]],Schedules[[#This Row],[Player 1]]&amp;" / "&amp;Schedules[[#This Row],[Player 2]])</f>
        <v>0</v>
      </c>
      <c r="L298" s="78">
        <v>15</v>
      </c>
      <c r="M298" s="78" t="str">
        <f t="shared" si="57"/>
        <v>WIN</v>
      </c>
      <c r="N298" s="78"/>
      <c r="O298" s="78"/>
      <c r="P298" s="78">
        <f>IF(Schedules[[#This Row],[Player 4]]="",Schedules[[#This Row],[Player 3]],Schedules[[#This Row],[Player 3]]&amp;" / "&amp;Schedules[[#This Row],[Player 4]])</f>
        <v>0</v>
      </c>
      <c r="Q298" s="78">
        <v>10</v>
      </c>
      <c r="R298" s="78" t="str">
        <f t="shared" si="58"/>
        <v>LOST</v>
      </c>
      <c r="S298" s="61">
        <f>Input!D74</f>
        <v>0</v>
      </c>
      <c r="T298" s="61">
        <f>Input!E74</f>
        <v>0</v>
      </c>
    </row>
    <row r="299" spans="1:20" hidden="1" x14ac:dyDescent="0.3">
      <c r="A299" s="109" t="s">
        <v>51</v>
      </c>
      <c r="B299" s="78" t="s">
        <v>67</v>
      </c>
      <c r="C299" s="79">
        <f t="shared" ref="C299:E300" si="62">C298</f>
        <v>46117.472222222219</v>
      </c>
      <c r="D299" s="79">
        <f t="shared" si="62"/>
        <v>46117.479166666664</v>
      </c>
      <c r="E299" s="78" t="str">
        <f t="shared" si="62"/>
        <v>Group</v>
      </c>
      <c r="F299" s="78">
        <f t="shared" si="60"/>
        <v>2</v>
      </c>
      <c r="G299" s="78">
        <v>6</v>
      </c>
      <c r="H299" s="78" t="str">
        <f ca="1">IF(OR(S299="",T299=""),"",IFERROR(_xludf.XLOOKUP(S299,'Registrations'!#REF!,'Registrations'!#REF!,_xludf.XLOOKUP(S299,'Registrations'!$B$4:$B$211,'Registrations'!$E$4:$E$211,S299)),S299) &amp; " vs " &amp; IFERROR(_xludf.XLOOKUP(T299,'Registrations'!#REF!,'Registrations'!#REF!,_xludf.XLOOKUP(T299,'Registrations'!$B$4:$B$211,'Registrations'!$E$4:$E$211,T299)),T299))</f>
        <v>0 vs 0</v>
      </c>
      <c r="I299" s="78"/>
      <c r="J299" s="78"/>
      <c r="K299" s="78">
        <f>IF(Schedules[[#This Row],[Player 2]]="",Schedules[[#This Row],[Player 1]],Schedules[[#This Row],[Player 1]]&amp;" / "&amp;Schedules[[#This Row],[Player 2]])</f>
        <v>0</v>
      </c>
      <c r="L299" s="78">
        <v>15</v>
      </c>
      <c r="M299" s="78" t="str">
        <f t="shared" si="57"/>
        <v>WIN</v>
      </c>
      <c r="N299" s="78"/>
      <c r="O299" s="78"/>
      <c r="P299" s="78">
        <f>IF(Schedules[[#This Row],[Player 4]]="",Schedules[[#This Row],[Player 3]],Schedules[[#This Row],[Player 3]]&amp;" / "&amp;Schedules[[#This Row],[Player 4]])</f>
        <v>0</v>
      </c>
      <c r="Q299" s="78">
        <v>10</v>
      </c>
      <c r="R299" s="78" t="str">
        <f t="shared" si="58"/>
        <v>LOST</v>
      </c>
      <c r="S299" s="61">
        <f>Input!B74</f>
        <v>0</v>
      </c>
      <c r="T299" s="61">
        <f>Input!D74</f>
        <v>0</v>
      </c>
    </row>
    <row r="300" spans="1:20" hidden="1" x14ac:dyDescent="0.3">
      <c r="A300" s="109" t="s">
        <v>51</v>
      </c>
      <c r="B300" s="78" t="s">
        <v>67</v>
      </c>
      <c r="C300" s="79">
        <f t="shared" si="62"/>
        <v>46117.472222222219</v>
      </c>
      <c r="D300" s="79">
        <f t="shared" si="62"/>
        <v>46117.479166666664</v>
      </c>
      <c r="E300" s="78" t="str">
        <f t="shared" si="62"/>
        <v>Group</v>
      </c>
      <c r="F300" s="78">
        <f t="shared" si="60"/>
        <v>3</v>
      </c>
      <c r="G300" s="78">
        <v>6</v>
      </c>
      <c r="H300" s="78" t="str">
        <f ca="1">IF(OR(S300="",T300=""),"",IFERROR(_xludf.XLOOKUP(S300,'Registrations'!#REF!,'Registrations'!#REF!,_xludf.XLOOKUP(S300,'Registrations'!$B$4:$B$211,'Registrations'!$E$4:$E$211,S300)),S300) &amp; " vs " &amp; IFERROR(_xludf.XLOOKUP(T300,'Registrations'!#REF!,'Registrations'!#REF!,_xludf.XLOOKUP(T300,'Registrations'!$B$4:$B$211,'Registrations'!$E$4:$E$211,T300)),T300))</f>
        <v>0 vs 0</v>
      </c>
      <c r="I300" s="78"/>
      <c r="J300" s="78"/>
      <c r="K300" s="78">
        <f>IF(Schedules[[#This Row],[Player 2]]="",Schedules[[#This Row],[Player 1]],Schedules[[#This Row],[Player 1]]&amp;" / "&amp;Schedules[[#This Row],[Player 2]])</f>
        <v>0</v>
      </c>
      <c r="L300" s="78">
        <v>15</v>
      </c>
      <c r="M300" s="78" t="str">
        <f t="shared" si="57"/>
        <v>WIN</v>
      </c>
      <c r="N300" s="78"/>
      <c r="O300" s="78"/>
      <c r="P300" s="78">
        <f>IF(Schedules[[#This Row],[Player 4]]="",Schedules[[#This Row],[Player 3]],Schedules[[#This Row],[Player 3]]&amp;" / "&amp;Schedules[[#This Row],[Player 4]])</f>
        <v>0</v>
      </c>
      <c r="Q300" s="78">
        <v>10</v>
      </c>
      <c r="R300" s="78" t="str">
        <f t="shared" si="58"/>
        <v>LOST</v>
      </c>
      <c r="S300" s="61">
        <f>Input!C74</f>
        <v>0</v>
      </c>
      <c r="T300" s="61">
        <f>Input!E74</f>
        <v>0</v>
      </c>
    </row>
    <row r="301" spans="1:20" hidden="1" x14ac:dyDescent="0.3">
      <c r="A301" s="109" t="s">
        <v>51</v>
      </c>
      <c r="B301" s="78" t="s">
        <v>67</v>
      </c>
      <c r="C301" s="79">
        <f>D300+TIME(0,3,0)</f>
        <v>46117.481249999997</v>
      </c>
      <c r="D301" s="79">
        <f>C301+TIME(0,10,0)</f>
        <v>46117.488194444442</v>
      </c>
      <c r="E301" s="78" t="s">
        <v>433</v>
      </c>
      <c r="F301" s="78">
        <f t="shared" si="60"/>
        <v>1</v>
      </c>
      <c r="G301" s="78">
        <v>5</v>
      </c>
      <c r="H301" s="78" t="str">
        <f ca="1">IF(OR(S301="",T301=""),"",IFERROR(_xludf.XLOOKUP(S301,'Registrations'!#REF!,'Registrations'!#REF!,_xludf.XLOOKUP(S301,'Registrations'!$B$4:$B$211,'Registrations'!$E$4:$E$211,S301)),S301) &amp; " vs " &amp; IFERROR(_xludf.XLOOKUP(T301,'Registrations'!#REF!,'Registrations'!#REF!,_xludf.XLOOKUP(T301,'Registrations'!$B$4:$B$211,'Registrations'!$E$4:$E$211,T301)),T301))</f>
        <v>0 vs 0</v>
      </c>
      <c r="I301" s="78"/>
      <c r="J301" s="78"/>
      <c r="K301" s="78">
        <f>IF(Schedules[[#This Row],[Player 2]]="",Schedules[[#This Row],[Player 1]],Schedules[[#This Row],[Player 1]]&amp;" / "&amp;Schedules[[#This Row],[Player 2]])</f>
        <v>0</v>
      </c>
      <c r="L301" s="78">
        <v>15</v>
      </c>
      <c r="M301" s="78" t="str">
        <f t="shared" si="57"/>
        <v>WIN</v>
      </c>
      <c r="N301" s="78"/>
      <c r="O301" s="78"/>
      <c r="P301" s="78">
        <f>IF(Schedules[[#This Row],[Player 4]]="",Schedules[[#This Row],[Player 3]],Schedules[[#This Row],[Player 3]]&amp;" / "&amp;Schedules[[#This Row],[Player 4]])</f>
        <v>0</v>
      </c>
      <c r="Q301" s="78">
        <v>10</v>
      </c>
      <c r="R301" s="78" t="str">
        <f t="shared" si="58"/>
        <v>LOST</v>
      </c>
      <c r="S301" s="61">
        <f>Input!B73</f>
        <v>0</v>
      </c>
      <c r="T301" s="61">
        <f>Input!E73</f>
        <v>0</v>
      </c>
    </row>
    <row r="302" spans="1:20" hidden="1" x14ac:dyDescent="0.3">
      <c r="A302" s="109" t="s">
        <v>51</v>
      </c>
      <c r="B302" s="78" t="s">
        <v>67</v>
      </c>
      <c r="C302" s="79">
        <f t="shared" ref="C302:E303" si="63">C301</f>
        <v>46117.481249999997</v>
      </c>
      <c r="D302" s="79">
        <f t="shared" si="63"/>
        <v>46117.488194444442</v>
      </c>
      <c r="E302" s="78" t="str">
        <f t="shared" si="63"/>
        <v>Group</v>
      </c>
      <c r="F302" s="78">
        <f t="shared" si="60"/>
        <v>2</v>
      </c>
      <c r="G302" s="78">
        <v>6</v>
      </c>
      <c r="H302" s="78" t="str">
        <f ca="1">IF(OR(S302="",T302=""),"",IFERROR(_xludf.XLOOKUP(S302,'Registrations'!#REF!,'Registrations'!#REF!,_xludf.XLOOKUP(S302,'Registrations'!$B$4:$B$211,'Registrations'!$E$4:$E$211,S302)),S302) &amp; " vs " &amp; IFERROR(_xludf.XLOOKUP(T302,'Registrations'!#REF!,'Registrations'!#REF!,_xludf.XLOOKUP(T302,'Registrations'!$B$4:$B$211,'Registrations'!$E$4:$E$211,T302)),T302))</f>
        <v>0 vs 0</v>
      </c>
      <c r="I302" s="78"/>
      <c r="J302" s="78"/>
      <c r="K302" s="78">
        <f>IF(Schedules[[#This Row],[Player 2]]="",Schedules[[#This Row],[Player 1]],Schedules[[#This Row],[Player 1]]&amp;" / "&amp;Schedules[[#This Row],[Player 2]])</f>
        <v>0</v>
      </c>
      <c r="L302" s="78">
        <v>15</v>
      </c>
      <c r="M302" s="78" t="str">
        <f t="shared" si="57"/>
        <v>WIN</v>
      </c>
      <c r="N302" s="78"/>
      <c r="O302" s="78"/>
      <c r="P302" s="78">
        <f>IF(Schedules[[#This Row],[Player 4]]="",Schedules[[#This Row],[Player 3]],Schedules[[#This Row],[Player 3]]&amp;" / "&amp;Schedules[[#This Row],[Player 4]])</f>
        <v>0</v>
      </c>
      <c r="Q302" s="78">
        <v>10</v>
      </c>
      <c r="R302" s="78" t="str">
        <f t="shared" si="58"/>
        <v>LOST</v>
      </c>
      <c r="S302" s="61">
        <f>Input!B74</f>
        <v>0</v>
      </c>
      <c r="T302" s="61">
        <f>Input!E74</f>
        <v>0</v>
      </c>
    </row>
    <row r="303" spans="1:20" hidden="1" x14ac:dyDescent="0.3">
      <c r="A303" s="109" t="s">
        <v>51</v>
      </c>
      <c r="B303" s="78" t="s">
        <v>67</v>
      </c>
      <c r="C303" s="79">
        <f t="shared" si="63"/>
        <v>46117.481249999997</v>
      </c>
      <c r="D303" s="79">
        <f t="shared" si="63"/>
        <v>46117.488194444442</v>
      </c>
      <c r="E303" s="78" t="str">
        <f t="shared" si="63"/>
        <v>Group</v>
      </c>
      <c r="F303" s="78">
        <f t="shared" si="60"/>
        <v>3</v>
      </c>
      <c r="G303" s="78">
        <v>6</v>
      </c>
      <c r="H303" s="78" t="str">
        <f ca="1">IF(OR(S303="",T303=""),"",IFERROR(_xludf.XLOOKUP(S303,'Registrations'!#REF!,'Registrations'!#REF!,_xludf.XLOOKUP(S303,'Registrations'!$B$4:$B$211,'Registrations'!$E$4:$E$211,S303)),S303) &amp; " vs " &amp; IFERROR(_xludf.XLOOKUP(T303,'Registrations'!#REF!,'Registrations'!#REF!,_xludf.XLOOKUP(T303,'Registrations'!$B$4:$B$211,'Registrations'!$E$4:$E$211,T303)),T303))</f>
        <v>0 vs 0</v>
      </c>
      <c r="I303" s="78"/>
      <c r="J303" s="78"/>
      <c r="K303" s="78">
        <f>IF(Schedules[[#This Row],[Player 2]]="",Schedules[[#This Row],[Player 1]],Schedules[[#This Row],[Player 1]]&amp;" / "&amp;Schedules[[#This Row],[Player 2]])</f>
        <v>0</v>
      </c>
      <c r="L303" s="78">
        <v>15</v>
      </c>
      <c r="M303" s="78" t="str">
        <f t="shared" si="57"/>
        <v>WIN</v>
      </c>
      <c r="N303" s="78"/>
      <c r="O303" s="78"/>
      <c r="P303" s="78">
        <f>IF(Schedules[[#This Row],[Player 4]]="",Schedules[[#This Row],[Player 3]],Schedules[[#This Row],[Player 3]]&amp;" / "&amp;Schedules[[#This Row],[Player 4]])</f>
        <v>0</v>
      </c>
      <c r="Q303" s="78">
        <v>10</v>
      </c>
      <c r="R303" s="78" t="str">
        <f t="shared" si="58"/>
        <v>LOST</v>
      </c>
      <c r="S303" s="61">
        <f>Input!C74</f>
        <v>0</v>
      </c>
      <c r="T303" s="61">
        <f>Input!D74</f>
        <v>0</v>
      </c>
    </row>
    <row r="304" spans="1:20" hidden="1" x14ac:dyDescent="0.3">
      <c r="A304" s="109" t="s">
        <v>51</v>
      </c>
      <c r="B304" s="78" t="s">
        <v>67</v>
      </c>
      <c r="C304" s="79">
        <f>D303+TIME(0,3,0)</f>
        <v>46117.490277777775</v>
      </c>
      <c r="D304" s="79">
        <f>C304+TIME(0,10,0)</f>
        <v>46117.49722222222</v>
      </c>
      <c r="E304" s="78" t="str">
        <f>E303</f>
        <v>Group</v>
      </c>
      <c r="F304" s="78">
        <f t="shared" si="60"/>
        <v>1</v>
      </c>
      <c r="G304" s="78">
        <v>5</v>
      </c>
      <c r="H304" s="78" t="str">
        <f ca="1">IF(OR(S304="",T304=""),"",IFERROR(_xludf.XLOOKUP(S304,'Registrations'!#REF!,'Registrations'!#REF!,_xludf.XLOOKUP(S304,'Registrations'!$B$4:$B$211,'Registrations'!$E$4:$E$211,S304)),S304) &amp; " vs " &amp; IFERROR(_xludf.XLOOKUP(T304,'Registrations'!#REF!,'Registrations'!#REF!,_xludf.XLOOKUP(T304,'Registrations'!$B$4:$B$211,'Registrations'!$E$4:$E$211,T304)),T304))</f>
        <v>0 vs 0</v>
      </c>
      <c r="I304" s="78"/>
      <c r="J304" s="78"/>
      <c r="K304" s="78">
        <f>IF(Schedules[[#This Row],[Player 2]]="",Schedules[[#This Row],[Player 1]],Schedules[[#This Row],[Player 1]]&amp;" / "&amp;Schedules[[#This Row],[Player 2]])</f>
        <v>0</v>
      </c>
      <c r="L304" s="78">
        <v>15</v>
      </c>
      <c r="M304" s="78" t="str">
        <f t="shared" si="57"/>
        <v>WIN</v>
      </c>
      <c r="N304" s="78"/>
      <c r="O304" s="78"/>
      <c r="P304" s="78">
        <f>IF(Schedules[[#This Row],[Player 4]]="",Schedules[[#This Row],[Player 3]],Schedules[[#This Row],[Player 3]]&amp;" / "&amp;Schedules[[#This Row],[Player 4]])</f>
        <v>0</v>
      </c>
      <c r="Q304" s="78">
        <v>10</v>
      </c>
      <c r="R304" s="78" t="str">
        <f t="shared" si="58"/>
        <v>LOST</v>
      </c>
      <c r="S304" s="61">
        <f>Input!C73</f>
        <v>0</v>
      </c>
      <c r="T304" s="61">
        <f>Input!D73</f>
        <v>0</v>
      </c>
    </row>
    <row r="305" spans="1:20" hidden="1" x14ac:dyDescent="0.3">
      <c r="A305" s="110" t="s">
        <v>51</v>
      </c>
      <c r="B305" s="76" t="s">
        <v>67</v>
      </c>
      <c r="C305" s="77">
        <f>C304</f>
        <v>46117.490277777775</v>
      </c>
      <c r="D305" s="77">
        <f>D304</f>
        <v>46117.49722222222</v>
      </c>
      <c r="E305" s="76" t="s">
        <v>432</v>
      </c>
      <c r="F305" s="76">
        <f t="shared" si="60"/>
        <v>2</v>
      </c>
      <c r="G305" s="76" t="s">
        <v>431</v>
      </c>
      <c r="H305" s="76" t="str">
        <f ca="1">IF(OR(S305="",T305=""),"",IFERROR(_xludf.XLOOKUP(S305,'Registrations'!#REF!,'Registrations'!#REF!,_xludf.XLOOKUP(S305,'Registrations'!$B$4:$B$211,'Registrations'!$E$4:$E$211,S305)),S305) &amp; " vs " &amp; IFERROR(_xludf.XLOOKUP(T305,'Registrations'!#REF!,'Registrations'!#REF!,_xludf.XLOOKUP(T305,'Registrations'!$B$4:$B$211,'Registrations'!$E$4:$E$211,T305)),T305))</f>
        <v>0 vs 0</v>
      </c>
      <c r="I305" s="76"/>
      <c r="J305" s="76"/>
      <c r="K305" s="76">
        <f>IF(Schedules[[#This Row],[Player 2]]="",Schedules[[#This Row],[Player 1]],Schedules[[#This Row],[Player 1]]&amp;" / "&amp;Schedules[[#This Row],[Player 2]])</f>
        <v>0</v>
      </c>
      <c r="L305" s="76">
        <v>15</v>
      </c>
      <c r="M305" s="76" t="str">
        <f t="shared" si="57"/>
        <v>WIN</v>
      </c>
      <c r="N305" s="76"/>
      <c r="O305" s="76"/>
      <c r="P305" s="76">
        <f>IF(Schedules[[#This Row],[Player 4]]="",Schedules[[#This Row],[Player 3]],Schedules[[#This Row],[Player 3]]&amp;" / "&amp;Schedules[[#This Row],[Player 4]])</f>
        <v>0</v>
      </c>
      <c r="Q305" s="76">
        <v>10</v>
      </c>
      <c r="R305" s="76" t="str">
        <f t="shared" si="58"/>
        <v>LOST</v>
      </c>
      <c r="S305" s="61">
        <f>Input!H73</f>
        <v>0</v>
      </c>
      <c r="T305" s="61">
        <f>Input!I73</f>
        <v>0</v>
      </c>
    </row>
    <row r="306" spans="1:20" hidden="1" x14ac:dyDescent="0.3">
      <c r="A306" s="110" t="s">
        <v>51</v>
      </c>
      <c r="B306" s="76" t="s">
        <v>67</v>
      </c>
      <c r="C306" s="77">
        <f>C305</f>
        <v>46117.490277777775</v>
      </c>
      <c r="D306" s="77">
        <f>D305</f>
        <v>46117.49722222222</v>
      </c>
      <c r="E306" s="76" t="str">
        <f>E305</f>
        <v>Pre-Q</v>
      </c>
      <c r="F306" s="76">
        <f t="shared" si="60"/>
        <v>3</v>
      </c>
      <c r="G306" s="76" t="s">
        <v>431</v>
      </c>
      <c r="H306" s="76" t="str">
        <f ca="1">IF(OR(S306="",T306=""),"",IFERROR(_xludf.XLOOKUP(S306,'Registrations'!#REF!,'Registrations'!#REF!,_xludf.XLOOKUP(S306,'Registrations'!$B$4:$B$211,'Registrations'!$E$4:$E$211,S306)),S306) &amp; " vs " &amp; IFERROR(_xludf.XLOOKUP(T306,'Registrations'!#REF!,'Registrations'!#REF!,_xludf.XLOOKUP(T306,'Registrations'!$B$4:$B$211,'Registrations'!$E$4:$E$211,T306)),T306))</f>
        <v>0 vs 0</v>
      </c>
      <c r="I306" s="76"/>
      <c r="J306" s="76"/>
      <c r="K306" s="76">
        <f>IF(Schedules[[#This Row],[Player 2]]="",Schedules[[#This Row],[Player 1]],Schedules[[#This Row],[Player 1]]&amp;" / "&amp;Schedules[[#This Row],[Player 2]])</f>
        <v>0</v>
      </c>
      <c r="L306" s="76">
        <v>15</v>
      </c>
      <c r="M306" s="76" t="str">
        <f t="shared" si="57"/>
        <v>WIN</v>
      </c>
      <c r="N306" s="76"/>
      <c r="O306" s="76"/>
      <c r="P306" s="76">
        <f>IF(Schedules[[#This Row],[Player 4]]="",Schedules[[#This Row],[Player 3]],Schedules[[#This Row],[Player 3]]&amp;" / "&amp;Schedules[[#This Row],[Player 4]])</f>
        <v>0</v>
      </c>
      <c r="Q306" s="76">
        <v>10</v>
      </c>
      <c r="R306" s="76" t="str">
        <f t="shared" si="58"/>
        <v>LOST</v>
      </c>
      <c r="S306" s="61">
        <f>Input!H74</f>
        <v>0</v>
      </c>
      <c r="T306" s="61">
        <f>Input!I74</f>
        <v>0</v>
      </c>
    </row>
    <row r="307" spans="1:20" hidden="1" x14ac:dyDescent="0.3">
      <c r="A307" s="110" t="s">
        <v>51</v>
      </c>
      <c r="B307" s="76" t="s">
        <v>67</v>
      </c>
      <c r="C307" s="77">
        <f>D306+TIME(0,3,0)</f>
        <v>46117.499305555553</v>
      </c>
      <c r="D307" s="77">
        <f>C307+TIME(0,10,0)</f>
        <v>46117.506249999999</v>
      </c>
      <c r="E307" s="76" t="str">
        <f>E306</f>
        <v>Pre-Q</v>
      </c>
      <c r="F307" s="76">
        <f t="shared" si="60"/>
        <v>1</v>
      </c>
      <c r="G307" s="76" t="s">
        <v>429</v>
      </c>
      <c r="H307" s="76" t="str">
        <f ca="1">IF(OR(S307="",T307=""),"",IFERROR(_xludf.XLOOKUP(S307,'Registrations'!#REF!,'Registrations'!#REF!,_xludf.XLOOKUP(S307,'Registrations'!$B$4:$B$211,'Registrations'!$E$4:$E$211,S307)),S307) &amp; " vs " &amp; IFERROR(_xludf.XLOOKUP(T307,'Registrations'!#REF!,'Registrations'!#REF!,_xludf.XLOOKUP(T307,'Registrations'!$B$4:$B$211,'Registrations'!$E$4:$E$211,T307)),T307))</f>
        <v>Rajib Sengupta / Antriksh Gala vs 0</v>
      </c>
      <c r="I307" s="76"/>
      <c r="J307" s="76"/>
      <c r="K307" s="76">
        <f>IF(Schedules[[#This Row],[Player 2]]="",Schedules[[#This Row],[Player 1]],Schedules[[#This Row],[Player 1]]&amp;" / "&amp;Schedules[[#This Row],[Player 2]])</f>
        <v>0</v>
      </c>
      <c r="L307" s="76">
        <v>15</v>
      </c>
      <c r="M307" s="76" t="str">
        <f t="shared" si="57"/>
        <v>WIN</v>
      </c>
      <c r="N307" s="76"/>
      <c r="O307" s="76"/>
      <c r="P307" s="76">
        <f>IF(Schedules[[#This Row],[Player 4]]="",Schedules[[#This Row],[Player 3]],Schedules[[#This Row],[Player 3]]&amp;" / "&amp;Schedules[[#This Row],[Player 4]])</f>
        <v>0</v>
      </c>
      <c r="Q307" s="76">
        <v>10</v>
      </c>
      <c r="R307" s="76" t="str">
        <f t="shared" si="58"/>
        <v>LOST</v>
      </c>
      <c r="S307" s="61" t="str">
        <f>Input!L69</f>
        <v>Rajib Sengupta / Antriksh Gala</v>
      </c>
      <c r="T307" s="61">
        <f>Input!M69</f>
        <v>0</v>
      </c>
    </row>
    <row r="308" spans="1:20" hidden="1" x14ac:dyDescent="0.3">
      <c r="A308" s="111" t="s">
        <v>51</v>
      </c>
      <c r="B308" s="74" t="s">
        <v>67</v>
      </c>
      <c r="C308" s="75">
        <f>C307</f>
        <v>46117.499305555553</v>
      </c>
      <c r="D308" s="75">
        <f>D307</f>
        <v>46117.506249999999</v>
      </c>
      <c r="E308" s="74" t="s">
        <v>40</v>
      </c>
      <c r="F308" s="74">
        <f t="shared" si="60"/>
        <v>2</v>
      </c>
      <c r="G308" s="74" t="s">
        <v>428</v>
      </c>
      <c r="H308" s="74" t="str">
        <f ca="1">IF(OR(S308="",T308=""),"",IFERROR(_xludf.XLOOKUP(S308,'Registrations'!#REF!,'Registrations'!#REF!,_xludf.XLOOKUP(S308,'Registrations'!$B$4:$B$211,'Registrations'!$E$4:$E$211,S308)),S308) &amp; " vs " &amp; IFERROR(_xludf.XLOOKUP(T308,'Registrations'!#REF!,'Registrations'!#REF!,_xludf.XLOOKUP(T308,'Registrations'!$B$4:$B$211,'Registrations'!$E$4:$E$211,T308)),T308))</f>
        <v>0 vs 0</v>
      </c>
      <c r="I308" s="74"/>
      <c r="J308" s="74"/>
      <c r="K308" s="74">
        <f>IF(Schedules[[#This Row],[Player 2]]="",Schedules[[#This Row],[Player 1]],Schedules[[#This Row],[Player 1]]&amp;" / "&amp;Schedules[[#This Row],[Player 2]])</f>
        <v>0</v>
      </c>
      <c r="L308" s="74">
        <v>15</v>
      </c>
      <c r="M308" s="74" t="str">
        <f t="shared" si="57"/>
        <v>WIN</v>
      </c>
      <c r="N308" s="74"/>
      <c r="O308" s="74"/>
      <c r="P308" s="74">
        <f>IF(Schedules[[#This Row],[Player 4]]="",Schedules[[#This Row],[Player 3]],Schedules[[#This Row],[Player 3]]&amp;" / "&amp;Schedules[[#This Row],[Player 4]])</f>
        <v>0</v>
      </c>
      <c r="Q308" s="74">
        <v>10</v>
      </c>
      <c r="R308" s="74" t="str">
        <f t="shared" si="58"/>
        <v>LOST</v>
      </c>
      <c r="S308" s="61">
        <f>Input!L70</f>
        <v>0</v>
      </c>
      <c r="T308" s="61">
        <f>Input!M70</f>
        <v>0</v>
      </c>
    </row>
    <row r="309" spans="1:20" hidden="1" x14ac:dyDescent="0.3">
      <c r="A309" s="111" t="s">
        <v>51</v>
      </c>
      <c r="B309" s="74" t="s">
        <v>67</v>
      </c>
      <c r="C309" s="75">
        <f>C308</f>
        <v>46117.499305555553</v>
      </c>
      <c r="D309" s="75">
        <f>D308</f>
        <v>46117.506249999999</v>
      </c>
      <c r="E309" s="74" t="str">
        <f>E308</f>
        <v>Quarters</v>
      </c>
      <c r="F309" s="74">
        <f t="shared" si="60"/>
        <v>3</v>
      </c>
      <c r="G309" s="74" t="s">
        <v>430</v>
      </c>
      <c r="H309" s="74" t="str">
        <f ca="1">IF(OR(S309="",T309=""),"",IFERROR(_xludf.XLOOKUP(S309,'Registrations'!#REF!,'Registrations'!#REF!,_xludf.XLOOKUP(S309,'Registrations'!$B$4:$B$211,'Registrations'!$E$4:$E$211,S309)),S309) &amp; " vs " &amp; IFERROR(_xludf.XLOOKUP(T309,'Registrations'!#REF!,'Registrations'!#REF!,_xludf.XLOOKUP(T309,'Registrations'!$B$4:$B$211,'Registrations'!$E$4:$E$211,T309)),T309))</f>
        <v>0 vs 0</v>
      </c>
      <c r="I309" s="74"/>
      <c r="J309" s="74"/>
      <c r="K309" s="74">
        <f>IF(Schedules[[#This Row],[Player 2]]="",Schedules[[#This Row],[Player 1]],Schedules[[#This Row],[Player 1]]&amp;" / "&amp;Schedules[[#This Row],[Player 2]])</f>
        <v>0</v>
      </c>
      <c r="L309" s="74">
        <v>15</v>
      </c>
      <c r="M309" s="74" t="str">
        <f t="shared" si="57"/>
        <v>WIN</v>
      </c>
      <c r="N309" s="74"/>
      <c r="O309" s="74"/>
      <c r="P309" s="74">
        <f>IF(Schedules[[#This Row],[Player 4]]="",Schedules[[#This Row],[Player 3]],Schedules[[#This Row],[Player 3]]&amp;" / "&amp;Schedules[[#This Row],[Player 4]])</f>
        <v>0</v>
      </c>
      <c r="Q309" s="74">
        <v>10</v>
      </c>
      <c r="R309" s="74" t="str">
        <f t="shared" si="58"/>
        <v>LOST</v>
      </c>
      <c r="S309" s="61">
        <f>Input!L71</f>
        <v>0</v>
      </c>
      <c r="T309" s="61">
        <f>Input!M71</f>
        <v>0</v>
      </c>
    </row>
    <row r="310" spans="1:20" hidden="1" x14ac:dyDescent="0.3">
      <c r="A310" s="113" t="s">
        <v>51</v>
      </c>
      <c r="B310" s="72" t="s">
        <v>67</v>
      </c>
      <c r="C310" s="73">
        <f>D309+TIME(0,3,0)</f>
        <v>46117.508333333331</v>
      </c>
      <c r="D310" s="73">
        <f>C310+TIME(0,10,0)</f>
        <v>46117.515277777777</v>
      </c>
      <c r="E310" s="72" t="s">
        <v>427</v>
      </c>
      <c r="F310" s="72">
        <f t="shared" si="60"/>
        <v>1</v>
      </c>
      <c r="G310" s="72" t="s">
        <v>426</v>
      </c>
      <c r="H310" s="72" t="str">
        <f ca="1">IF(OR(S310="",T310=""),"",IFERROR(_xludf.XLOOKUP(S310,'Registrations'!#REF!,'Registrations'!#REF!,_xludf.XLOOKUP(S310,'Registrations'!$B$4:$B$211,'Registrations'!$E$4:$E$211,S310)),S310) &amp; " vs " &amp; IFERROR(_xludf.XLOOKUP(T310,'Registrations'!#REF!,'Registrations'!#REF!,_xludf.XLOOKUP(T310,'Registrations'!$B$4:$B$211,'Registrations'!$E$4:$E$211,T310)),T310))</f>
        <v>Rajib Sengupta / Antriksh Gala vs 0</v>
      </c>
      <c r="I310" s="72"/>
      <c r="J310" s="72"/>
      <c r="K310" s="72">
        <f>IF(Schedules[[#This Row],[Player 2]]="",Schedules[[#This Row],[Player 1]],Schedules[[#This Row],[Player 1]]&amp;" / "&amp;Schedules[[#This Row],[Player 2]])</f>
        <v>0</v>
      </c>
      <c r="L310" s="72">
        <v>15</v>
      </c>
      <c r="M310" s="72" t="str">
        <f t="shared" si="57"/>
        <v>WIN</v>
      </c>
      <c r="N310" s="72"/>
      <c r="O310" s="72"/>
      <c r="P310" s="72">
        <f>IF(Schedules[[#This Row],[Player 4]]="",Schedules[[#This Row],[Player 3]],Schedules[[#This Row],[Player 3]]&amp;" / "&amp;Schedules[[#This Row],[Player 4]])</f>
        <v>0</v>
      </c>
      <c r="Q310" s="72">
        <v>10</v>
      </c>
      <c r="R310" s="72" t="str">
        <f t="shared" si="58"/>
        <v>LOST</v>
      </c>
      <c r="S310" s="61" t="str">
        <f>Input!P69</f>
        <v>Rajib Sengupta / Antriksh Gala</v>
      </c>
      <c r="T310" s="61">
        <f>Input!Q69</f>
        <v>0</v>
      </c>
    </row>
    <row r="311" spans="1:20" hidden="1" x14ac:dyDescent="0.3">
      <c r="A311" s="113" t="s">
        <v>51</v>
      </c>
      <c r="B311" s="72" t="s">
        <v>67</v>
      </c>
      <c r="C311" s="73">
        <f>C310</f>
        <v>46117.508333333331</v>
      </c>
      <c r="D311" s="73">
        <f>D310</f>
        <v>46117.515277777777</v>
      </c>
      <c r="E311" s="72" t="str">
        <f>E310</f>
        <v>Semi Final</v>
      </c>
      <c r="F311" s="72">
        <f t="shared" si="60"/>
        <v>2</v>
      </c>
      <c r="G311" s="72" t="s">
        <v>425</v>
      </c>
      <c r="H311" s="72"/>
      <c r="I311" s="72"/>
      <c r="J311" s="72"/>
      <c r="K311" s="72">
        <f>IF(Schedules[[#This Row],[Player 2]]="",Schedules[[#This Row],[Player 1]],Schedules[[#This Row],[Player 1]]&amp;" / "&amp;Schedules[[#This Row],[Player 2]])</f>
        <v>0</v>
      </c>
      <c r="L311" s="72">
        <v>15</v>
      </c>
      <c r="M311" s="72" t="str">
        <f t="shared" si="57"/>
        <v>WIN</v>
      </c>
      <c r="N311" s="72"/>
      <c r="O311" s="72"/>
      <c r="P311" s="72">
        <f>IF(Schedules[[#This Row],[Player 4]]="",Schedules[[#This Row],[Player 3]],Schedules[[#This Row],[Player 3]]&amp;" / "&amp;Schedules[[#This Row],[Player 4]])</f>
        <v>0</v>
      </c>
      <c r="Q311" s="72">
        <v>10</v>
      </c>
      <c r="R311" s="72" t="str">
        <f t="shared" si="58"/>
        <v>LOST</v>
      </c>
      <c r="S311" s="61">
        <f>Input!P70</f>
        <v>0</v>
      </c>
      <c r="T311" s="61" t="str">
        <f>Input!Q70</f>
        <v>WC 1</v>
      </c>
    </row>
    <row r="312" spans="1:20" hidden="1" x14ac:dyDescent="0.3">
      <c r="A312" s="112" t="s">
        <v>51</v>
      </c>
      <c r="B312" s="70" t="s">
        <v>67</v>
      </c>
      <c r="C312" s="71">
        <f>C311</f>
        <v>46117.508333333331</v>
      </c>
      <c r="D312" s="71">
        <f>D311</f>
        <v>46117.515277777777</v>
      </c>
      <c r="E312" s="70" t="s">
        <v>424</v>
      </c>
      <c r="F312" s="70">
        <f t="shared" si="60"/>
        <v>3</v>
      </c>
      <c r="G312" s="70"/>
      <c r="H312" s="70"/>
      <c r="I312" s="70"/>
      <c r="J312" s="70"/>
      <c r="K312" s="70">
        <f>IF(Schedules[[#This Row],[Player 2]]="",Schedules[[#This Row],[Player 1]],Schedules[[#This Row],[Player 1]]&amp;" / "&amp;Schedules[[#This Row],[Player 2]])</f>
        <v>0</v>
      </c>
      <c r="L312" s="70">
        <v>15</v>
      </c>
      <c r="M312" s="70" t="str">
        <f t="shared" si="57"/>
        <v>WIN</v>
      </c>
      <c r="N312" s="70"/>
      <c r="O312" s="70"/>
      <c r="P312" s="70">
        <f>IF(Schedules[[#This Row],[Player 4]]="",Schedules[[#This Row],[Player 3]],Schedules[[#This Row],[Player 3]]&amp;" / "&amp;Schedules[[#This Row],[Player 4]])</f>
        <v>0</v>
      </c>
      <c r="Q312" s="70">
        <v>10</v>
      </c>
      <c r="R312" s="70" t="str">
        <f t="shared" si="58"/>
        <v>LOST</v>
      </c>
      <c r="T312" s="61"/>
    </row>
    <row r="313" spans="1:20" hidden="1" x14ac:dyDescent="0.3">
      <c r="A313" s="114" t="s">
        <v>51</v>
      </c>
      <c r="B313" s="68" t="s">
        <v>67</v>
      </c>
      <c r="C313" s="69">
        <f>D312+TIME(0,3,0)</f>
        <v>46117.517361111109</v>
      </c>
      <c r="D313" s="69">
        <f>C313+TIME(0,10,0)</f>
        <v>46117.524305555555</v>
      </c>
      <c r="E313" s="68" t="s">
        <v>423</v>
      </c>
      <c r="F313" s="68">
        <f t="shared" si="60"/>
        <v>1</v>
      </c>
      <c r="G313" s="68" t="s">
        <v>422</v>
      </c>
      <c r="H313" s="68" t="str">
        <f ca="1">IF(OR(S313="",T313=""),"",IFERROR(_xludf.XLOOKUP(S313,'Registrations'!#REF!,'Registrations'!#REF!,_xludf.XLOOKUP(S313,'Registrations'!$B$4:$B$211,'Registrations'!$E$4:$E$211,S313)),S313) &amp; " vs " &amp; IFERROR(_xludf.XLOOKUP(T313,'Registrations'!#REF!,'Registrations'!#REF!,_xludf.XLOOKUP(T313,'Registrations'!$B$4:$B$211,'Registrations'!$E$4:$E$211,T313)),T313))</f>
        <v>Rajib Sengupta / Antriksh Gala vs 0</v>
      </c>
      <c r="I313" s="68"/>
      <c r="J313" s="68"/>
      <c r="K313" s="68">
        <f>IF(Schedules[[#This Row],[Player 2]]="",Schedules[[#This Row],[Player 1]],Schedules[[#This Row],[Player 1]]&amp;" / "&amp;Schedules[[#This Row],[Player 2]])</f>
        <v>0</v>
      </c>
      <c r="L313" s="68">
        <v>15</v>
      </c>
      <c r="M313" s="68" t="str">
        <f t="shared" si="57"/>
        <v>WIN</v>
      </c>
      <c r="N313" s="68"/>
      <c r="O313" s="68"/>
      <c r="P313" s="68">
        <f>IF(Schedules[[#This Row],[Player 4]]="",Schedules[[#This Row],[Player 3]],Schedules[[#This Row],[Player 3]]&amp;" / "&amp;Schedules[[#This Row],[Player 4]])</f>
        <v>0</v>
      </c>
      <c r="Q313" s="68">
        <v>10</v>
      </c>
      <c r="R313" s="68" t="str">
        <f t="shared" si="58"/>
        <v>LOST</v>
      </c>
      <c r="S313" s="61" t="str">
        <f>Input!T69</f>
        <v>Rajib Sengupta / Antriksh Gala</v>
      </c>
      <c r="T313" s="61">
        <f>Input!U69</f>
        <v>0</v>
      </c>
    </row>
    <row r="314" spans="1:20" hidden="1" x14ac:dyDescent="0.3">
      <c r="A314" s="109" t="s">
        <v>52</v>
      </c>
      <c r="B314" s="78" t="s">
        <v>67</v>
      </c>
      <c r="C314" s="79">
        <f>C313</f>
        <v>46117.517361111109</v>
      </c>
      <c r="D314" s="79">
        <f>D313</f>
        <v>46117.524305555555</v>
      </c>
      <c r="E314" s="78" t="s">
        <v>433</v>
      </c>
      <c r="F314" s="78">
        <f t="shared" si="60"/>
        <v>2</v>
      </c>
      <c r="G314" s="78">
        <v>1</v>
      </c>
      <c r="H314" s="78" t="str">
        <f ca="1">IF(OR(S314="",T314=""),"",IFERROR(_xludf.XLOOKUP(S314,'Registrations'!#REF!,'Registrations'!#REF!,_xludf.XLOOKUP(S314,'Registrations'!$B$4:$B$211,'Registrations'!$E$4:$E$211,S314)),S314) &amp; " vs " &amp; IFERROR(_xludf.XLOOKUP(T314,'Registrations'!#REF!,'Registrations'!#REF!,_xludf.XLOOKUP(T314,'Registrations'!$B$4:$B$211,'Registrations'!$E$4:$E$211,T314)),T314))</f>
        <v>Sanjay Gatti / Prabhakar Ghadge vs Yash Salvi / Chaitanya Hirlekar</v>
      </c>
      <c r="I314" s="78"/>
      <c r="J314" s="78"/>
      <c r="K314" s="78">
        <f>IF(Schedules[[#This Row],[Player 2]]="",Schedules[[#This Row],[Player 1]],Schedules[[#This Row],[Player 1]]&amp;" / "&amp;Schedules[[#This Row],[Player 2]])</f>
        <v>0</v>
      </c>
      <c r="L314" s="78">
        <v>15</v>
      </c>
      <c r="M314" s="78" t="str">
        <f t="shared" si="57"/>
        <v>WIN</v>
      </c>
      <c r="N314" s="78"/>
      <c r="O314" s="78"/>
      <c r="P314" s="78">
        <f>IF(Schedules[[#This Row],[Player 4]]="",Schedules[[#This Row],[Player 3]],Schedules[[#This Row],[Player 3]]&amp;" / "&amp;Schedules[[#This Row],[Player 4]])</f>
        <v>0</v>
      </c>
      <c r="Q314" s="78">
        <v>10</v>
      </c>
      <c r="R314" s="78" t="str">
        <f t="shared" si="58"/>
        <v>LOST</v>
      </c>
      <c r="S314" s="61" t="str">
        <f>Input!B80</f>
        <v>Sanjay Gatti / Prabhakar Ghadge</v>
      </c>
      <c r="T314" s="61" t="str">
        <f>Input!C80</f>
        <v>Yash Salvi / Chaitanya Hirlekar</v>
      </c>
    </row>
    <row r="315" spans="1:20" hidden="1" x14ac:dyDescent="0.3">
      <c r="A315" s="109" t="s">
        <v>52</v>
      </c>
      <c r="B315" s="78" t="s">
        <v>67</v>
      </c>
      <c r="C315" s="79">
        <f>C314</f>
        <v>46117.517361111109</v>
      </c>
      <c r="D315" s="79">
        <f>D314</f>
        <v>46117.524305555555</v>
      </c>
      <c r="E315" s="78" t="str">
        <f t="shared" ref="E315:E325" si="64">E314</f>
        <v>Group</v>
      </c>
      <c r="F315" s="78">
        <f t="shared" si="60"/>
        <v>3</v>
      </c>
      <c r="G315" s="78">
        <v>1</v>
      </c>
      <c r="H315" s="78" t="str">
        <f ca="1">IF(OR(S315="",T315=""),"",IFERROR(_xludf.XLOOKUP(S315,'Registrations'!#REF!,'Registrations'!#REF!,_xludf.XLOOKUP(S315,'Registrations'!$B$4:$B$211,'Registrations'!$E$4:$E$211,S315)),S315) &amp; " vs " &amp; IFERROR(_xludf.XLOOKUP(T315,'Registrations'!#REF!,'Registrations'!#REF!,_xludf.XLOOKUP(T315,'Registrations'!$B$4:$B$211,'Registrations'!$E$4:$E$211,T315)),T315))</f>
        <v>0 vs 0</v>
      </c>
      <c r="I315" s="78"/>
      <c r="J315" s="78"/>
      <c r="K315" s="78">
        <f>IF(Schedules[[#This Row],[Player 2]]="",Schedules[[#This Row],[Player 1]],Schedules[[#This Row],[Player 1]]&amp;" / "&amp;Schedules[[#This Row],[Player 2]])</f>
        <v>0</v>
      </c>
      <c r="L315" s="78">
        <v>15</v>
      </c>
      <c r="M315" s="78" t="str">
        <f t="shared" si="57"/>
        <v>WIN</v>
      </c>
      <c r="N315" s="78"/>
      <c r="O315" s="78"/>
      <c r="P315" s="78">
        <f>IF(Schedules[[#This Row],[Player 4]]="",Schedules[[#This Row],[Player 3]],Schedules[[#This Row],[Player 3]]&amp;" / "&amp;Schedules[[#This Row],[Player 4]])</f>
        <v>0</v>
      </c>
      <c r="Q315" s="78">
        <v>10</v>
      </c>
      <c r="R315" s="78" t="str">
        <f t="shared" si="58"/>
        <v>LOST</v>
      </c>
      <c r="S315" s="61">
        <f>Input!D80</f>
        <v>0</v>
      </c>
      <c r="T315" s="61">
        <f>Input!E80</f>
        <v>0</v>
      </c>
    </row>
    <row r="316" spans="1:20" hidden="1" x14ac:dyDescent="0.3">
      <c r="A316" s="109" t="s">
        <v>52</v>
      </c>
      <c r="B316" s="78" t="s">
        <v>67</v>
      </c>
      <c r="C316" s="79">
        <f>D315+TIME(0,3,0)</f>
        <v>46117.526388888888</v>
      </c>
      <c r="D316" s="79">
        <f>C316+TIME(0,10,0)</f>
        <v>46117.533333333333</v>
      </c>
      <c r="E316" s="78" t="str">
        <f t="shared" si="64"/>
        <v>Group</v>
      </c>
      <c r="F316" s="78">
        <f t="shared" si="60"/>
        <v>1</v>
      </c>
      <c r="G316" s="78">
        <v>2</v>
      </c>
      <c r="H316" s="78" t="str">
        <f ca="1">IF(OR(S316="",T316=""),"",IFERROR(_xludf.XLOOKUP(S316,'Registrations'!#REF!,'Registrations'!#REF!,_xludf.XLOOKUP(S316,'Registrations'!$B$4:$B$211,'Registrations'!$E$4:$E$211,S316)),S316) &amp; " vs " &amp; IFERROR(_xludf.XLOOKUP(T316,'Registrations'!#REF!,'Registrations'!#REF!,_xludf.XLOOKUP(T316,'Registrations'!$B$4:$B$211,'Registrations'!$E$4:$E$211,T316)),T316))</f>
        <v>0 vs 0</v>
      </c>
      <c r="I316" s="78"/>
      <c r="J316" s="78"/>
      <c r="K316" s="78">
        <f>IF(Schedules[[#This Row],[Player 2]]="",Schedules[[#This Row],[Player 1]],Schedules[[#This Row],[Player 1]]&amp;" / "&amp;Schedules[[#This Row],[Player 2]])</f>
        <v>0</v>
      </c>
      <c r="L316" s="78">
        <v>15</v>
      </c>
      <c r="M316" s="78" t="str">
        <f t="shared" si="57"/>
        <v>WIN</v>
      </c>
      <c r="N316" s="78"/>
      <c r="O316" s="78"/>
      <c r="P316" s="78">
        <f>IF(Schedules[[#This Row],[Player 4]]="",Schedules[[#This Row],[Player 3]],Schedules[[#This Row],[Player 3]]&amp;" / "&amp;Schedules[[#This Row],[Player 4]])</f>
        <v>0</v>
      </c>
      <c r="Q316" s="78">
        <v>10</v>
      </c>
      <c r="R316" s="78" t="str">
        <f t="shared" si="58"/>
        <v>LOST</v>
      </c>
      <c r="S316" s="61">
        <f>Input!B81</f>
        <v>0</v>
      </c>
      <c r="T316" s="61">
        <f>Input!C81</f>
        <v>0</v>
      </c>
    </row>
    <row r="317" spans="1:20" hidden="1" x14ac:dyDescent="0.3">
      <c r="A317" s="109" t="s">
        <v>52</v>
      </c>
      <c r="B317" s="78" t="s">
        <v>67</v>
      </c>
      <c r="C317" s="79">
        <f>C316</f>
        <v>46117.526388888888</v>
      </c>
      <c r="D317" s="79">
        <f>D316</f>
        <v>46117.533333333333</v>
      </c>
      <c r="E317" s="78" t="str">
        <f t="shared" si="64"/>
        <v>Group</v>
      </c>
      <c r="F317" s="78">
        <f t="shared" si="60"/>
        <v>2</v>
      </c>
      <c r="G317" s="78">
        <v>1</v>
      </c>
      <c r="H317" s="78" t="str">
        <f ca="1">IF(OR(S317="",T317=""),"",IFERROR(_xludf.XLOOKUP(S317,'Registrations'!#REF!,'Registrations'!#REF!,_xludf.XLOOKUP(S317,'Registrations'!$B$4:$B$211,'Registrations'!$E$4:$E$211,S317)),S317) &amp; " vs " &amp; IFERROR(_xludf.XLOOKUP(T317,'Registrations'!#REF!,'Registrations'!#REF!,_xludf.XLOOKUP(T317,'Registrations'!$B$4:$B$211,'Registrations'!$E$4:$E$211,T317)),T317))</f>
        <v>Sanjay Gatti / Prabhakar Ghadge vs 0</v>
      </c>
      <c r="I317" s="78"/>
      <c r="J317" s="78"/>
      <c r="K317" s="78">
        <f>IF(Schedules[[#This Row],[Player 2]]="",Schedules[[#This Row],[Player 1]],Schedules[[#This Row],[Player 1]]&amp;" / "&amp;Schedules[[#This Row],[Player 2]])</f>
        <v>0</v>
      </c>
      <c r="L317" s="78">
        <v>15</v>
      </c>
      <c r="M317" s="78" t="str">
        <f t="shared" si="57"/>
        <v>WIN</v>
      </c>
      <c r="N317" s="78"/>
      <c r="O317" s="78"/>
      <c r="P317" s="78">
        <f>IF(Schedules[[#This Row],[Player 4]]="",Schedules[[#This Row],[Player 3]],Schedules[[#This Row],[Player 3]]&amp;" / "&amp;Schedules[[#This Row],[Player 4]])</f>
        <v>0</v>
      </c>
      <c r="Q317" s="78">
        <v>10</v>
      </c>
      <c r="R317" s="78" t="str">
        <f t="shared" si="58"/>
        <v>LOST</v>
      </c>
      <c r="S317" s="61" t="str">
        <f>Input!B80</f>
        <v>Sanjay Gatti / Prabhakar Ghadge</v>
      </c>
      <c r="T317" s="61">
        <f>Input!D80</f>
        <v>0</v>
      </c>
    </row>
    <row r="318" spans="1:20" hidden="1" x14ac:dyDescent="0.3">
      <c r="A318" s="109" t="s">
        <v>52</v>
      </c>
      <c r="B318" s="78" t="s">
        <v>67</v>
      </c>
      <c r="C318" s="79">
        <f>C317</f>
        <v>46117.526388888888</v>
      </c>
      <c r="D318" s="79">
        <f>D317</f>
        <v>46117.533333333333</v>
      </c>
      <c r="E318" s="78" t="str">
        <f t="shared" si="64"/>
        <v>Group</v>
      </c>
      <c r="F318" s="78">
        <f t="shared" si="60"/>
        <v>3</v>
      </c>
      <c r="G318" s="78">
        <v>1</v>
      </c>
      <c r="H318" s="78" t="str">
        <f ca="1">IF(OR(S318="",T318=""),"",IFERROR(_xludf.XLOOKUP(S318,'Registrations'!#REF!,'Registrations'!#REF!,_xludf.XLOOKUP(S318,'Registrations'!$B$4:$B$211,'Registrations'!$E$4:$E$211,S318)),S318) &amp; " vs " &amp; IFERROR(_xludf.XLOOKUP(T318,'Registrations'!#REF!,'Registrations'!#REF!,_xludf.XLOOKUP(T318,'Registrations'!$B$4:$B$211,'Registrations'!$E$4:$E$211,T318)),T318))</f>
        <v>Yash Salvi / Chaitanya Hirlekar vs 0</v>
      </c>
      <c r="I318" s="78"/>
      <c r="J318" s="78"/>
      <c r="K318" s="78">
        <f>IF(Schedules[[#This Row],[Player 2]]="",Schedules[[#This Row],[Player 1]],Schedules[[#This Row],[Player 1]]&amp;" / "&amp;Schedules[[#This Row],[Player 2]])</f>
        <v>0</v>
      </c>
      <c r="L318" s="78">
        <v>15</v>
      </c>
      <c r="M318" s="78" t="str">
        <f t="shared" si="57"/>
        <v>WIN</v>
      </c>
      <c r="N318" s="78"/>
      <c r="O318" s="78"/>
      <c r="P318" s="78">
        <f>IF(Schedules[[#This Row],[Player 4]]="",Schedules[[#This Row],[Player 3]],Schedules[[#This Row],[Player 3]]&amp;" / "&amp;Schedules[[#This Row],[Player 4]])</f>
        <v>0</v>
      </c>
      <c r="Q318" s="78">
        <v>10</v>
      </c>
      <c r="R318" s="78" t="str">
        <f t="shared" si="58"/>
        <v>LOST</v>
      </c>
      <c r="S318" s="61" t="str">
        <f>Input!C80</f>
        <v>Yash Salvi / Chaitanya Hirlekar</v>
      </c>
      <c r="T318" s="61">
        <f>Input!E80</f>
        <v>0</v>
      </c>
    </row>
    <row r="319" spans="1:20" hidden="1" x14ac:dyDescent="0.3">
      <c r="A319" s="109" t="s">
        <v>52</v>
      </c>
      <c r="B319" s="78" t="s">
        <v>67</v>
      </c>
      <c r="C319" s="79">
        <f>D318+TIME(0,3,0)</f>
        <v>46117.535416666666</v>
      </c>
      <c r="D319" s="79">
        <f>C319+TIME(0,10,0)</f>
        <v>46117.542361111111</v>
      </c>
      <c r="E319" s="78" t="str">
        <f t="shared" si="64"/>
        <v>Group</v>
      </c>
      <c r="F319" s="78">
        <f t="shared" si="60"/>
        <v>1</v>
      </c>
      <c r="G319" s="78">
        <v>2</v>
      </c>
      <c r="H319" s="78" t="str">
        <f ca="1">IF(OR(S319="",T319=""),"",IFERROR(_xludf.XLOOKUP(S319,'Registrations'!#REF!,'Registrations'!#REF!,_xludf.XLOOKUP(S319,'Registrations'!$B$4:$B$211,'Registrations'!$E$4:$E$211,S319)),S319) &amp; " vs " &amp; IFERROR(_xludf.XLOOKUP(T319,'Registrations'!#REF!,'Registrations'!#REF!,_xludf.XLOOKUP(T319,'Registrations'!$B$4:$B$211,'Registrations'!$E$4:$E$211,T319)),T319))</f>
        <v>0 vs 0</v>
      </c>
      <c r="I319" s="78"/>
      <c r="J319" s="78"/>
      <c r="K319" s="78">
        <f>IF(Schedules[[#This Row],[Player 2]]="",Schedules[[#This Row],[Player 1]],Schedules[[#This Row],[Player 1]]&amp;" / "&amp;Schedules[[#This Row],[Player 2]])</f>
        <v>0</v>
      </c>
      <c r="L319" s="78">
        <v>15</v>
      </c>
      <c r="M319" s="78" t="str">
        <f t="shared" si="57"/>
        <v>WIN</v>
      </c>
      <c r="N319" s="78"/>
      <c r="O319" s="78"/>
      <c r="P319" s="78">
        <f>IF(Schedules[[#This Row],[Player 4]]="",Schedules[[#This Row],[Player 3]],Schedules[[#This Row],[Player 3]]&amp;" / "&amp;Schedules[[#This Row],[Player 4]])</f>
        <v>0</v>
      </c>
      <c r="Q319" s="78">
        <v>10</v>
      </c>
      <c r="R319" s="78" t="str">
        <f t="shared" si="58"/>
        <v>LOST</v>
      </c>
      <c r="S319" s="61">
        <f>Input!D81</f>
        <v>0</v>
      </c>
      <c r="T319" s="61">
        <f>Input!E81</f>
        <v>0</v>
      </c>
    </row>
    <row r="320" spans="1:20" hidden="1" x14ac:dyDescent="0.3">
      <c r="A320" s="109" t="s">
        <v>52</v>
      </c>
      <c r="B320" s="78" t="s">
        <v>67</v>
      </c>
      <c r="C320" s="79">
        <f>C319</f>
        <v>46117.535416666666</v>
      </c>
      <c r="D320" s="79">
        <f>D319</f>
        <v>46117.542361111111</v>
      </c>
      <c r="E320" s="78" t="str">
        <f t="shared" si="64"/>
        <v>Group</v>
      </c>
      <c r="F320" s="78">
        <f t="shared" ref="F320:F351" si="65">F317</f>
        <v>2</v>
      </c>
      <c r="G320" s="78">
        <v>2</v>
      </c>
      <c r="H320" s="78" t="str">
        <f ca="1">IF(OR(S320="",T320=""),"",IFERROR(_xludf.XLOOKUP(S320,'Registrations'!#REF!,'Registrations'!#REF!,_xludf.XLOOKUP(S320,'Registrations'!$B$4:$B$211,'Registrations'!$E$4:$E$211,S320)),S320) &amp; " vs " &amp; IFERROR(_xludf.XLOOKUP(T320,'Registrations'!#REF!,'Registrations'!#REF!,_xludf.XLOOKUP(T320,'Registrations'!$B$4:$B$211,'Registrations'!$E$4:$E$211,T320)),T320))</f>
        <v>0 vs 0</v>
      </c>
      <c r="I320" s="78"/>
      <c r="J320" s="78"/>
      <c r="K320" s="78">
        <f>IF(Schedules[[#This Row],[Player 2]]="",Schedules[[#This Row],[Player 1]],Schedules[[#This Row],[Player 1]]&amp;" / "&amp;Schedules[[#This Row],[Player 2]])</f>
        <v>0</v>
      </c>
      <c r="L320" s="78">
        <v>15</v>
      </c>
      <c r="M320" s="78" t="str">
        <f t="shared" si="57"/>
        <v>WIN</v>
      </c>
      <c r="N320" s="78"/>
      <c r="O320" s="78"/>
      <c r="P320" s="78">
        <f>IF(Schedules[[#This Row],[Player 4]]="",Schedules[[#This Row],[Player 3]],Schedules[[#This Row],[Player 3]]&amp;" / "&amp;Schedules[[#This Row],[Player 4]])</f>
        <v>0</v>
      </c>
      <c r="Q320" s="78">
        <v>10</v>
      </c>
      <c r="R320" s="78" t="str">
        <f t="shared" si="58"/>
        <v>LOST</v>
      </c>
      <c r="S320" s="61">
        <f>Input!B81</f>
        <v>0</v>
      </c>
      <c r="T320" s="61">
        <f>Input!D81</f>
        <v>0</v>
      </c>
    </row>
    <row r="321" spans="1:20" hidden="1" x14ac:dyDescent="0.3">
      <c r="A321" s="109" t="s">
        <v>52</v>
      </c>
      <c r="B321" s="78" t="s">
        <v>67</v>
      </c>
      <c r="C321" s="79">
        <f>C320</f>
        <v>46117.535416666666</v>
      </c>
      <c r="D321" s="79">
        <f>D320</f>
        <v>46117.542361111111</v>
      </c>
      <c r="E321" s="78" t="str">
        <f t="shared" si="64"/>
        <v>Group</v>
      </c>
      <c r="F321" s="78">
        <f t="shared" si="65"/>
        <v>3</v>
      </c>
      <c r="G321" s="78">
        <v>2</v>
      </c>
      <c r="H321" s="78" t="str">
        <f ca="1">IF(OR(S321="",T321=""),"",IFERROR(_xludf.XLOOKUP(S321,'Registrations'!#REF!,'Registrations'!#REF!,_xludf.XLOOKUP(S321,'Registrations'!$B$4:$B$211,'Registrations'!$E$4:$E$211,S321)),S321) &amp; " vs " &amp; IFERROR(_xludf.XLOOKUP(T321,'Registrations'!#REF!,'Registrations'!#REF!,_xludf.XLOOKUP(T321,'Registrations'!$B$4:$B$211,'Registrations'!$E$4:$E$211,T321)),T321))</f>
        <v>0 vs 0</v>
      </c>
      <c r="I321" s="78"/>
      <c r="J321" s="78"/>
      <c r="K321" s="78">
        <f>IF(Schedules[[#This Row],[Player 2]]="",Schedules[[#This Row],[Player 1]],Schedules[[#This Row],[Player 1]]&amp;" / "&amp;Schedules[[#This Row],[Player 2]])</f>
        <v>0</v>
      </c>
      <c r="L321" s="78">
        <v>15</v>
      </c>
      <c r="M321" s="78" t="str">
        <f t="shared" si="57"/>
        <v>WIN</v>
      </c>
      <c r="N321" s="78"/>
      <c r="O321" s="78"/>
      <c r="P321" s="78">
        <f>IF(Schedules[[#This Row],[Player 4]]="",Schedules[[#This Row],[Player 3]],Schedules[[#This Row],[Player 3]]&amp;" / "&amp;Schedules[[#This Row],[Player 4]])</f>
        <v>0</v>
      </c>
      <c r="Q321" s="78">
        <v>10</v>
      </c>
      <c r="R321" s="78" t="str">
        <f t="shared" si="58"/>
        <v>LOST</v>
      </c>
      <c r="S321" s="61">
        <f>Input!C81</f>
        <v>0</v>
      </c>
      <c r="T321" s="61">
        <f>Input!E81</f>
        <v>0</v>
      </c>
    </row>
    <row r="322" spans="1:20" hidden="1" x14ac:dyDescent="0.3">
      <c r="A322" s="109" t="s">
        <v>52</v>
      </c>
      <c r="B322" s="78" t="s">
        <v>67</v>
      </c>
      <c r="C322" s="79">
        <f>D321+TIME(0,3,0)</f>
        <v>46117.544444444444</v>
      </c>
      <c r="D322" s="79">
        <f>C322+TIME(0,10,0)</f>
        <v>46117.551388888889</v>
      </c>
      <c r="E322" s="78" t="str">
        <f t="shared" si="64"/>
        <v>Group</v>
      </c>
      <c r="F322" s="78">
        <f t="shared" si="65"/>
        <v>1</v>
      </c>
      <c r="G322" s="78">
        <v>1</v>
      </c>
      <c r="H322" s="78" t="str">
        <f ca="1">IF(OR(S322="",T322=""),"",IFERROR(_xludf.XLOOKUP(S322,'Registrations'!#REF!,'Registrations'!#REF!,_xludf.XLOOKUP(S322,'Registrations'!$B$4:$B$211,'Registrations'!$E$4:$E$211,S322)),S322) &amp; " vs " &amp; IFERROR(_xludf.XLOOKUP(T322,'Registrations'!#REF!,'Registrations'!#REF!,_xludf.XLOOKUP(T322,'Registrations'!$B$4:$B$211,'Registrations'!$E$4:$E$211,T322)),T322))</f>
        <v>Sanjay Gatti / Prabhakar Ghadge vs 0</v>
      </c>
      <c r="I322" s="78"/>
      <c r="J322" s="78"/>
      <c r="K322" s="78">
        <f>IF(Schedules[[#This Row],[Player 2]]="",Schedules[[#This Row],[Player 1]],Schedules[[#This Row],[Player 1]]&amp;" / "&amp;Schedules[[#This Row],[Player 2]])</f>
        <v>0</v>
      </c>
      <c r="L322" s="78">
        <v>15</v>
      </c>
      <c r="M322" s="78" t="str">
        <f t="shared" si="57"/>
        <v>WIN</v>
      </c>
      <c r="N322" s="78"/>
      <c r="O322" s="78"/>
      <c r="P322" s="78">
        <f>IF(Schedules[[#This Row],[Player 4]]="",Schedules[[#This Row],[Player 3]],Schedules[[#This Row],[Player 3]]&amp;" / "&amp;Schedules[[#This Row],[Player 4]])</f>
        <v>0</v>
      </c>
      <c r="Q322" s="78">
        <v>10</v>
      </c>
      <c r="R322" s="78" t="str">
        <f t="shared" si="58"/>
        <v>LOST</v>
      </c>
      <c r="S322" s="61" t="str">
        <f>Input!B80</f>
        <v>Sanjay Gatti / Prabhakar Ghadge</v>
      </c>
      <c r="T322" s="61">
        <f>Input!E80</f>
        <v>0</v>
      </c>
    </row>
    <row r="323" spans="1:20" hidden="1" x14ac:dyDescent="0.3">
      <c r="A323" s="109" t="s">
        <v>52</v>
      </c>
      <c r="B323" s="78" t="s">
        <v>67</v>
      </c>
      <c r="C323" s="79">
        <f>C322</f>
        <v>46117.544444444444</v>
      </c>
      <c r="D323" s="79">
        <f>D322</f>
        <v>46117.551388888889</v>
      </c>
      <c r="E323" s="78" t="str">
        <f t="shared" si="64"/>
        <v>Group</v>
      </c>
      <c r="F323" s="78">
        <f t="shared" si="65"/>
        <v>2</v>
      </c>
      <c r="G323" s="78">
        <v>2</v>
      </c>
      <c r="H323" s="78" t="str">
        <f ca="1">IF(OR(S323="",T323=""),"",IFERROR(_xludf.XLOOKUP(S323,'Registrations'!#REF!,'Registrations'!#REF!,_xludf.XLOOKUP(S323,'Registrations'!$B$4:$B$211,'Registrations'!$E$4:$E$211,S323)),S323) &amp; " vs " &amp; IFERROR(_xludf.XLOOKUP(T323,'Registrations'!#REF!,'Registrations'!#REF!,_xludf.XLOOKUP(T323,'Registrations'!$B$4:$B$211,'Registrations'!$E$4:$E$211,T323)),T323))</f>
        <v>0 vs 0</v>
      </c>
      <c r="I323" s="78"/>
      <c r="J323" s="78"/>
      <c r="K323" s="78">
        <f>IF(Schedules[[#This Row],[Player 2]]="",Schedules[[#This Row],[Player 1]],Schedules[[#This Row],[Player 1]]&amp;" / "&amp;Schedules[[#This Row],[Player 2]])</f>
        <v>0</v>
      </c>
      <c r="L323" s="78">
        <v>15</v>
      </c>
      <c r="M323" s="78" t="str">
        <f t="shared" si="57"/>
        <v>WIN</v>
      </c>
      <c r="N323" s="78"/>
      <c r="O323" s="78"/>
      <c r="P323" s="78">
        <f>IF(Schedules[[#This Row],[Player 4]]="",Schedules[[#This Row],[Player 3]],Schedules[[#This Row],[Player 3]]&amp;" / "&amp;Schedules[[#This Row],[Player 4]])</f>
        <v>0</v>
      </c>
      <c r="Q323" s="78">
        <v>10</v>
      </c>
      <c r="R323" s="78" t="str">
        <f t="shared" si="58"/>
        <v>LOST</v>
      </c>
      <c r="S323" s="61">
        <f>Input!B81</f>
        <v>0</v>
      </c>
      <c r="T323" s="61">
        <f>Input!E81</f>
        <v>0</v>
      </c>
    </row>
    <row r="324" spans="1:20" hidden="1" x14ac:dyDescent="0.3">
      <c r="A324" s="109" t="s">
        <v>52</v>
      </c>
      <c r="B324" s="78" t="s">
        <v>67</v>
      </c>
      <c r="C324" s="79">
        <f>C323</f>
        <v>46117.544444444444</v>
      </c>
      <c r="D324" s="79">
        <f>D323</f>
        <v>46117.551388888889</v>
      </c>
      <c r="E324" s="78" t="str">
        <f t="shared" si="64"/>
        <v>Group</v>
      </c>
      <c r="F324" s="78">
        <f t="shared" si="65"/>
        <v>3</v>
      </c>
      <c r="G324" s="78">
        <v>2</v>
      </c>
      <c r="H324" s="78" t="str">
        <f ca="1">IF(OR(S324="",T324=""),"",IFERROR(_xludf.XLOOKUP(S324,'Registrations'!#REF!,'Registrations'!#REF!,_xludf.XLOOKUP(S324,'Registrations'!$B$4:$B$211,'Registrations'!$E$4:$E$211,S324)),S324) &amp; " vs " &amp; IFERROR(_xludf.XLOOKUP(T324,'Registrations'!#REF!,'Registrations'!#REF!,_xludf.XLOOKUP(T324,'Registrations'!$B$4:$B$211,'Registrations'!$E$4:$E$211,T324)),T324))</f>
        <v>0 vs 0</v>
      </c>
      <c r="I324" s="78"/>
      <c r="J324" s="78"/>
      <c r="K324" s="78">
        <f>IF(Schedules[[#This Row],[Player 2]]="",Schedules[[#This Row],[Player 1]],Schedules[[#This Row],[Player 1]]&amp;" / "&amp;Schedules[[#This Row],[Player 2]])</f>
        <v>0</v>
      </c>
      <c r="L324" s="78">
        <v>15</v>
      </c>
      <c r="M324" s="78" t="str">
        <f t="shared" si="57"/>
        <v>WIN</v>
      </c>
      <c r="N324" s="78"/>
      <c r="O324" s="78"/>
      <c r="P324" s="78">
        <f>IF(Schedules[[#This Row],[Player 4]]="",Schedules[[#This Row],[Player 3]],Schedules[[#This Row],[Player 3]]&amp;" / "&amp;Schedules[[#This Row],[Player 4]])</f>
        <v>0</v>
      </c>
      <c r="Q324" s="78">
        <v>10</v>
      </c>
      <c r="R324" s="78" t="str">
        <f t="shared" si="58"/>
        <v>LOST</v>
      </c>
      <c r="S324" s="61">
        <f>Input!C81</f>
        <v>0</v>
      </c>
      <c r="T324" s="61">
        <f>Input!D81</f>
        <v>0</v>
      </c>
    </row>
    <row r="325" spans="1:20" hidden="1" x14ac:dyDescent="0.3">
      <c r="A325" s="109" t="s">
        <v>52</v>
      </c>
      <c r="B325" s="78" t="s">
        <v>67</v>
      </c>
      <c r="C325" s="79">
        <f>D324+TIME(0,3,0)</f>
        <v>46117.553472222222</v>
      </c>
      <c r="D325" s="79">
        <f>C325+TIME(0,10,0)</f>
        <v>46117.560416666667</v>
      </c>
      <c r="E325" s="78" t="str">
        <f t="shared" si="64"/>
        <v>Group</v>
      </c>
      <c r="F325" s="78">
        <f t="shared" si="65"/>
        <v>1</v>
      </c>
      <c r="G325" s="78">
        <v>1</v>
      </c>
      <c r="H325" s="78" t="str">
        <f ca="1">IF(OR(S325="",T325=""),"",IFERROR(_xludf.XLOOKUP(S325,'Registrations'!#REF!,'Registrations'!#REF!,_xludf.XLOOKUP(S325,'Registrations'!$B$4:$B$211,'Registrations'!$E$4:$E$211,S325)),S325) &amp; " vs " &amp; IFERROR(_xludf.XLOOKUP(T325,'Registrations'!#REF!,'Registrations'!#REF!,_xludf.XLOOKUP(T325,'Registrations'!$B$4:$B$211,'Registrations'!$E$4:$E$211,T325)),T325))</f>
        <v>Yash Salvi / Chaitanya Hirlekar vs 0</v>
      </c>
      <c r="I325" s="78"/>
      <c r="J325" s="78"/>
      <c r="K325" s="78">
        <f>IF(Schedules[[#This Row],[Player 2]]="",Schedules[[#This Row],[Player 1]],Schedules[[#This Row],[Player 1]]&amp;" / "&amp;Schedules[[#This Row],[Player 2]])</f>
        <v>0</v>
      </c>
      <c r="L325" s="78">
        <v>15</v>
      </c>
      <c r="M325" s="78" t="str">
        <f t="shared" si="57"/>
        <v>WIN</v>
      </c>
      <c r="N325" s="78"/>
      <c r="O325" s="78"/>
      <c r="P325" s="78">
        <f>IF(Schedules[[#This Row],[Player 4]]="",Schedules[[#This Row],[Player 3]],Schedules[[#This Row],[Player 3]]&amp;" / "&amp;Schedules[[#This Row],[Player 4]])</f>
        <v>0</v>
      </c>
      <c r="Q325" s="78">
        <v>10</v>
      </c>
      <c r="R325" s="78" t="str">
        <f t="shared" si="58"/>
        <v>LOST</v>
      </c>
      <c r="S325" s="61" t="str">
        <f>Input!C80</f>
        <v>Yash Salvi / Chaitanya Hirlekar</v>
      </c>
      <c r="T325" s="61">
        <f>Input!D80</f>
        <v>0</v>
      </c>
    </row>
    <row r="326" spans="1:20" hidden="1" x14ac:dyDescent="0.3">
      <c r="A326" s="110" t="s">
        <v>52</v>
      </c>
      <c r="B326" s="76" t="s">
        <v>67</v>
      </c>
      <c r="C326" s="77">
        <f>C325</f>
        <v>46117.553472222222</v>
      </c>
      <c r="D326" s="77">
        <f>D325</f>
        <v>46117.560416666667</v>
      </c>
      <c r="E326" s="76" t="s">
        <v>432</v>
      </c>
      <c r="F326" s="76">
        <f t="shared" si="65"/>
        <v>2</v>
      </c>
      <c r="G326" s="76" t="s">
        <v>422</v>
      </c>
      <c r="H326" s="76" t="str">
        <f ca="1">IF(OR(S326="",T326=""),"",IFERROR(_xludf.XLOOKUP(S326,'Registrations'!#REF!,'Registrations'!#REF!,_xludf.XLOOKUP(S326,'Registrations'!$B$4:$B$211,'Registrations'!$E$4:$E$211,S326)),S326) &amp; " vs " &amp; IFERROR(_xludf.XLOOKUP(T326,'Registrations'!#REF!,'Registrations'!#REF!,_xludf.XLOOKUP(T326,'Registrations'!$B$4:$B$211,'Registrations'!$E$4:$E$211,T326)),T326))</f>
        <v>Sanjay Gatti / Prabhakar Ghadge vs 0</v>
      </c>
      <c r="I326" s="76"/>
      <c r="J326" s="76"/>
      <c r="K326" s="76">
        <f>IF(Schedules[[#This Row],[Player 2]]="",Schedules[[#This Row],[Player 1]],Schedules[[#This Row],[Player 1]]&amp;" / "&amp;Schedules[[#This Row],[Player 2]])</f>
        <v>0</v>
      </c>
      <c r="L326" s="76">
        <v>15</v>
      </c>
      <c r="M326" s="76" t="str">
        <f t="shared" si="57"/>
        <v>WIN</v>
      </c>
      <c r="N326" s="76"/>
      <c r="O326" s="76"/>
      <c r="P326" s="76">
        <f>IF(Schedules[[#This Row],[Player 4]]="",Schedules[[#This Row],[Player 3]],Schedules[[#This Row],[Player 3]]&amp;" / "&amp;Schedules[[#This Row],[Player 4]])</f>
        <v>0</v>
      </c>
      <c r="Q326" s="76">
        <v>10</v>
      </c>
      <c r="R326" s="76" t="str">
        <f t="shared" si="58"/>
        <v>LOST</v>
      </c>
      <c r="S326" s="61" t="str">
        <f>Input!H80</f>
        <v>Sanjay Gatti / Prabhakar Ghadge</v>
      </c>
      <c r="T326" s="61">
        <f>Input!I80</f>
        <v>0</v>
      </c>
    </row>
    <row r="327" spans="1:20" hidden="1" x14ac:dyDescent="0.3">
      <c r="A327" s="110" t="s">
        <v>52</v>
      </c>
      <c r="B327" s="76" t="s">
        <v>67</v>
      </c>
      <c r="C327" s="77">
        <f>C326</f>
        <v>46117.553472222222</v>
      </c>
      <c r="D327" s="77">
        <f>D326</f>
        <v>46117.560416666667</v>
      </c>
      <c r="E327" s="76" t="str">
        <f>E326</f>
        <v>Pre-Q</v>
      </c>
      <c r="F327" s="76">
        <f t="shared" si="65"/>
        <v>3</v>
      </c>
      <c r="G327" s="76" t="s">
        <v>422</v>
      </c>
      <c r="H327" s="76" t="str">
        <f ca="1">IF(OR(S327="",T327=""),"",IFERROR(_xludf.XLOOKUP(S327,'Registrations'!#REF!,'Registrations'!#REF!,_xludf.XLOOKUP(S327,'Registrations'!$B$4:$B$211,'Registrations'!$E$4:$E$211,S327)),S327) &amp; " vs " &amp; IFERROR(_xludf.XLOOKUP(T327,'Registrations'!#REF!,'Registrations'!#REF!,_xludf.XLOOKUP(T327,'Registrations'!$B$4:$B$211,'Registrations'!$E$4:$E$211,T327)),T327))</f>
        <v>0 vs 0</v>
      </c>
      <c r="I327" s="76"/>
      <c r="J327" s="76"/>
      <c r="K327" s="76">
        <f>IF(Schedules[[#This Row],[Player 2]]="",Schedules[[#This Row],[Player 1]],Schedules[[#This Row],[Player 1]]&amp;" / "&amp;Schedules[[#This Row],[Player 2]])</f>
        <v>0</v>
      </c>
      <c r="L327" s="76">
        <v>15</v>
      </c>
      <c r="M327" s="76" t="str">
        <f t="shared" si="57"/>
        <v>WIN</v>
      </c>
      <c r="N327" s="76"/>
      <c r="O327" s="76"/>
      <c r="P327" s="76">
        <f>IF(Schedules[[#This Row],[Player 4]]="",Schedules[[#This Row],[Player 3]],Schedules[[#This Row],[Player 3]]&amp;" / "&amp;Schedules[[#This Row],[Player 4]])</f>
        <v>0</v>
      </c>
      <c r="Q327" s="76">
        <v>10</v>
      </c>
      <c r="R327" s="76" t="str">
        <f t="shared" si="58"/>
        <v>LOST</v>
      </c>
      <c r="S327" s="61">
        <f>Input!H81</f>
        <v>0</v>
      </c>
      <c r="T327" s="61">
        <f>Input!I81</f>
        <v>0</v>
      </c>
    </row>
    <row r="328" spans="1:20" hidden="1" x14ac:dyDescent="0.3">
      <c r="A328" s="109" t="s">
        <v>52</v>
      </c>
      <c r="B328" s="78" t="s">
        <v>67</v>
      </c>
      <c r="C328" s="79">
        <f>D327+TIME(0,3,0)</f>
        <v>46117.5625</v>
      </c>
      <c r="D328" s="79">
        <f>C328+TIME(0,10,0)</f>
        <v>46117.569444444445</v>
      </c>
      <c r="E328" s="78" t="s">
        <v>433</v>
      </c>
      <c r="F328" s="78">
        <f t="shared" si="65"/>
        <v>1</v>
      </c>
      <c r="G328" s="78">
        <v>3</v>
      </c>
      <c r="H328" s="78" t="str">
        <f ca="1">IF(OR(S328="",T328=""),"",IFERROR(_xludf.XLOOKUP(S328,'Registrations'!#REF!,'Registrations'!#REF!,_xludf.XLOOKUP(S328,'Registrations'!$B$4:$B$211,'Registrations'!$E$4:$E$211,S328)),S328) &amp; " vs " &amp; IFERROR(_xludf.XLOOKUP(T328,'Registrations'!#REF!,'Registrations'!#REF!,_xludf.XLOOKUP(T328,'Registrations'!$B$4:$B$211,'Registrations'!$E$4:$E$211,T328)),T328))</f>
        <v>0 vs 0</v>
      </c>
      <c r="I328" s="78"/>
      <c r="J328" s="78"/>
      <c r="K328" s="78">
        <f>IF(Schedules[[#This Row],[Player 2]]="",Schedules[[#This Row],[Player 1]],Schedules[[#This Row],[Player 1]]&amp;" / "&amp;Schedules[[#This Row],[Player 2]])</f>
        <v>0</v>
      </c>
      <c r="L328" s="78">
        <v>15</v>
      </c>
      <c r="M328" s="78" t="str">
        <f t="shared" si="57"/>
        <v>WIN</v>
      </c>
      <c r="N328" s="78"/>
      <c r="O328" s="78"/>
      <c r="P328" s="78">
        <f>IF(Schedules[[#This Row],[Player 4]]="",Schedules[[#This Row],[Player 3]],Schedules[[#This Row],[Player 3]]&amp;" / "&amp;Schedules[[#This Row],[Player 4]])</f>
        <v>0</v>
      </c>
      <c r="Q328" s="78">
        <v>10</v>
      </c>
      <c r="R328" s="78" t="str">
        <f t="shared" si="58"/>
        <v>LOST</v>
      </c>
      <c r="S328" s="61">
        <f>Input!B82</f>
        <v>0</v>
      </c>
      <c r="T328" s="61">
        <f>Input!C82</f>
        <v>0</v>
      </c>
    </row>
    <row r="329" spans="1:20" hidden="1" x14ac:dyDescent="0.3">
      <c r="A329" s="109" t="s">
        <v>52</v>
      </c>
      <c r="B329" s="78" t="s">
        <v>67</v>
      </c>
      <c r="C329" s="79">
        <f t="shared" ref="C329:E330" si="66">C328</f>
        <v>46117.5625</v>
      </c>
      <c r="D329" s="79">
        <f t="shared" si="66"/>
        <v>46117.569444444445</v>
      </c>
      <c r="E329" s="78" t="str">
        <f t="shared" si="66"/>
        <v>Group</v>
      </c>
      <c r="F329" s="78">
        <f t="shared" si="65"/>
        <v>2</v>
      </c>
      <c r="G329" s="78">
        <v>3</v>
      </c>
      <c r="H329" s="78" t="str">
        <f ca="1">IF(OR(S329="",T329=""),"",IFERROR(_xludf.XLOOKUP(S329,'Registrations'!#REF!,'Registrations'!#REF!,_xludf.XLOOKUP(S329,'Registrations'!$B$4:$B$211,'Registrations'!$E$4:$E$211,S329)),S329) &amp; " vs " &amp; IFERROR(_xludf.XLOOKUP(T329,'Registrations'!#REF!,'Registrations'!#REF!,_xludf.XLOOKUP(T329,'Registrations'!$B$4:$B$211,'Registrations'!$E$4:$E$211,T329)),T329))</f>
        <v>0 vs 0</v>
      </c>
      <c r="I329" s="78"/>
      <c r="J329" s="78"/>
      <c r="K329" s="78">
        <f>IF(Schedules[[#This Row],[Player 2]]="",Schedules[[#This Row],[Player 1]],Schedules[[#This Row],[Player 1]]&amp;" / "&amp;Schedules[[#This Row],[Player 2]])</f>
        <v>0</v>
      </c>
      <c r="L329" s="78">
        <v>15</v>
      </c>
      <c r="M329" s="78" t="str">
        <f t="shared" si="57"/>
        <v>WIN</v>
      </c>
      <c r="N329" s="78"/>
      <c r="O329" s="78"/>
      <c r="P329" s="78">
        <f>IF(Schedules[[#This Row],[Player 4]]="",Schedules[[#This Row],[Player 3]],Schedules[[#This Row],[Player 3]]&amp;" / "&amp;Schedules[[#This Row],[Player 4]])</f>
        <v>0</v>
      </c>
      <c r="Q329" s="78">
        <v>10</v>
      </c>
      <c r="R329" s="78" t="str">
        <f t="shared" si="58"/>
        <v>LOST</v>
      </c>
      <c r="S329" s="61">
        <f>Input!D82</f>
        <v>0</v>
      </c>
      <c r="T329" s="61">
        <f>Input!E82</f>
        <v>0</v>
      </c>
    </row>
    <row r="330" spans="1:20" hidden="1" x14ac:dyDescent="0.3">
      <c r="A330" s="109" t="s">
        <v>52</v>
      </c>
      <c r="B330" s="78" t="s">
        <v>67</v>
      </c>
      <c r="C330" s="79">
        <f t="shared" si="66"/>
        <v>46117.5625</v>
      </c>
      <c r="D330" s="79">
        <f t="shared" si="66"/>
        <v>46117.569444444445</v>
      </c>
      <c r="E330" s="78" t="str">
        <f t="shared" si="66"/>
        <v>Group</v>
      </c>
      <c r="F330" s="78">
        <f t="shared" si="65"/>
        <v>3</v>
      </c>
      <c r="G330" s="78">
        <v>4</v>
      </c>
      <c r="H330" s="78" t="str">
        <f ca="1">IF(OR(S330="",T330=""),"",IFERROR(_xludf.XLOOKUP(S330,'Registrations'!#REF!,'Registrations'!#REF!,_xludf.XLOOKUP(S330,'Registrations'!$B$4:$B$211,'Registrations'!$E$4:$E$211,S330)),S330) &amp; " vs " &amp; IFERROR(_xludf.XLOOKUP(T330,'Registrations'!#REF!,'Registrations'!#REF!,_xludf.XLOOKUP(T330,'Registrations'!$B$4:$B$211,'Registrations'!$E$4:$E$211,T330)),T330))</f>
        <v>0 vs 0</v>
      </c>
      <c r="I330" s="78"/>
      <c r="J330" s="78"/>
      <c r="K330" s="78">
        <f>IF(Schedules[[#This Row],[Player 2]]="",Schedules[[#This Row],[Player 1]],Schedules[[#This Row],[Player 1]]&amp;" / "&amp;Schedules[[#This Row],[Player 2]])</f>
        <v>0</v>
      </c>
      <c r="L330" s="78">
        <v>15</v>
      </c>
      <c r="M330" s="78" t="str">
        <f t="shared" si="57"/>
        <v>WIN</v>
      </c>
      <c r="N330" s="78"/>
      <c r="O330" s="78"/>
      <c r="P330" s="78">
        <f>IF(Schedules[[#This Row],[Player 4]]="",Schedules[[#This Row],[Player 3]],Schedules[[#This Row],[Player 3]]&amp;" / "&amp;Schedules[[#This Row],[Player 4]])</f>
        <v>0</v>
      </c>
      <c r="Q330" s="78">
        <v>10</v>
      </c>
      <c r="R330" s="78" t="str">
        <f t="shared" si="58"/>
        <v>LOST</v>
      </c>
      <c r="S330" s="61">
        <f>Input!B83</f>
        <v>0</v>
      </c>
      <c r="T330" s="61">
        <f>Input!C83</f>
        <v>0</v>
      </c>
    </row>
    <row r="331" spans="1:20" hidden="1" x14ac:dyDescent="0.3">
      <c r="A331" s="109" t="s">
        <v>52</v>
      </c>
      <c r="B331" s="78" t="s">
        <v>67</v>
      </c>
      <c r="C331" s="79">
        <f>D330+TIME(0,3,0)</f>
        <v>46117.571527777778</v>
      </c>
      <c r="D331" s="79">
        <f>C331+TIME(0,10,0)</f>
        <v>46117.578472222223</v>
      </c>
      <c r="E331" s="78" t="str">
        <f t="shared" ref="E331:E339" si="67">E330</f>
        <v>Group</v>
      </c>
      <c r="F331" s="78">
        <f t="shared" si="65"/>
        <v>1</v>
      </c>
      <c r="G331" s="78">
        <v>3</v>
      </c>
      <c r="H331" s="78" t="str">
        <f ca="1">IF(OR(S331="",T331=""),"",IFERROR(_xludf.XLOOKUP(S331,'Registrations'!#REF!,'Registrations'!#REF!,_xludf.XLOOKUP(S331,'Registrations'!$B$4:$B$211,'Registrations'!$E$4:$E$211,S331)),S331) &amp; " vs " &amp; IFERROR(_xludf.XLOOKUP(T331,'Registrations'!#REF!,'Registrations'!#REF!,_xludf.XLOOKUP(T331,'Registrations'!$B$4:$B$211,'Registrations'!$E$4:$E$211,T331)),T331))</f>
        <v>0 vs 0</v>
      </c>
      <c r="I331" s="78"/>
      <c r="J331" s="78"/>
      <c r="K331" s="78">
        <f>IF(Schedules[[#This Row],[Player 2]]="",Schedules[[#This Row],[Player 1]],Schedules[[#This Row],[Player 1]]&amp;" / "&amp;Schedules[[#This Row],[Player 2]])</f>
        <v>0</v>
      </c>
      <c r="L331" s="78">
        <v>15</v>
      </c>
      <c r="M331" s="78" t="str">
        <f t="shared" si="57"/>
        <v>WIN</v>
      </c>
      <c r="N331" s="78"/>
      <c r="O331" s="78"/>
      <c r="P331" s="78">
        <f>IF(Schedules[[#This Row],[Player 4]]="",Schedules[[#This Row],[Player 3]],Schedules[[#This Row],[Player 3]]&amp;" / "&amp;Schedules[[#This Row],[Player 4]])</f>
        <v>0</v>
      </c>
      <c r="Q331" s="78">
        <v>10</v>
      </c>
      <c r="R331" s="78" t="str">
        <f t="shared" si="58"/>
        <v>LOST</v>
      </c>
      <c r="S331" s="61">
        <f>Input!B82</f>
        <v>0</v>
      </c>
      <c r="T331" s="61">
        <f>Input!D82</f>
        <v>0</v>
      </c>
    </row>
    <row r="332" spans="1:20" hidden="1" x14ac:dyDescent="0.3">
      <c r="A332" s="109" t="s">
        <v>52</v>
      </c>
      <c r="B332" s="78" t="s">
        <v>67</v>
      </c>
      <c r="C332" s="79">
        <f>C331</f>
        <v>46117.571527777778</v>
      </c>
      <c r="D332" s="79">
        <f>D331</f>
        <v>46117.578472222223</v>
      </c>
      <c r="E332" s="78" t="str">
        <f t="shared" si="67"/>
        <v>Group</v>
      </c>
      <c r="F332" s="78">
        <f t="shared" si="65"/>
        <v>2</v>
      </c>
      <c r="G332" s="78">
        <v>3</v>
      </c>
      <c r="H332" s="78" t="str">
        <f ca="1">IF(OR(S332="",T332=""),"",IFERROR(_xludf.XLOOKUP(S332,'Registrations'!#REF!,'Registrations'!#REF!,_xludf.XLOOKUP(S332,'Registrations'!$B$4:$B$211,'Registrations'!$E$4:$E$211,S332)),S332) &amp; " vs " &amp; IFERROR(_xludf.XLOOKUP(T332,'Registrations'!#REF!,'Registrations'!#REF!,_xludf.XLOOKUP(T332,'Registrations'!$B$4:$B$211,'Registrations'!$E$4:$E$211,T332)),T332))</f>
        <v>0 vs 0</v>
      </c>
      <c r="I332" s="78"/>
      <c r="J332" s="78"/>
      <c r="K332" s="78">
        <f>IF(Schedules[[#This Row],[Player 2]]="",Schedules[[#This Row],[Player 1]],Schedules[[#This Row],[Player 1]]&amp;" / "&amp;Schedules[[#This Row],[Player 2]])</f>
        <v>0</v>
      </c>
      <c r="L332" s="78">
        <v>15</v>
      </c>
      <c r="M332" s="78" t="str">
        <f t="shared" ref="M332:M395" si="68">IF(L332=15,"WIN","LOST")</f>
        <v>WIN</v>
      </c>
      <c r="N332" s="78"/>
      <c r="O332" s="78"/>
      <c r="P332" s="78">
        <f>IF(Schedules[[#This Row],[Player 4]]="",Schedules[[#This Row],[Player 3]],Schedules[[#This Row],[Player 3]]&amp;" / "&amp;Schedules[[#This Row],[Player 4]])</f>
        <v>0</v>
      </c>
      <c r="Q332" s="78">
        <v>10</v>
      </c>
      <c r="R332" s="78" t="str">
        <f t="shared" ref="R332:R395" si="69">IF(Q332=15,"WIN","LOST")</f>
        <v>LOST</v>
      </c>
      <c r="S332" s="61">
        <f>Input!C82</f>
        <v>0</v>
      </c>
      <c r="T332" s="61">
        <f>Input!E82</f>
        <v>0</v>
      </c>
    </row>
    <row r="333" spans="1:20" hidden="1" x14ac:dyDescent="0.3">
      <c r="A333" s="109" t="s">
        <v>52</v>
      </c>
      <c r="B333" s="78" t="s">
        <v>67</v>
      </c>
      <c r="C333" s="79">
        <f>C332</f>
        <v>46117.571527777778</v>
      </c>
      <c r="D333" s="79">
        <f>D332</f>
        <v>46117.578472222223</v>
      </c>
      <c r="E333" s="78" t="str">
        <f t="shared" si="67"/>
        <v>Group</v>
      </c>
      <c r="F333" s="78">
        <f t="shared" si="65"/>
        <v>3</v>
      </c>
      <c r="G333" s="78">
        <v>4</v>
      </c>
      <c r="H333" s="78" t="str">
        <f ca="1">IF(OR(S333="",T333=""),"",IFERROR(_xludf.XLOOKUP(S333,'Registrations'!#REF!,'Registrations'!#REF!,_xludf.XLOOKUP(S333,'Registrations'!$B$4:$B$211,'Registrations'!$E$4:$E$211,S333)),S333) &amp; " vs " &amp; IFERROR(_xludf.XLOOKUP(T333,'Registrations'!#REF!,'Registrations'!#REF!,_xludf.XLOOKUP(T333,'Registrations'!$B$4:$B$211,'Registrations'!$E$4:$E$211,T333)),T333))</f>
        <v>0 vs 0</v>
      </c>
      <c r="I333" s="78"/>
      <c r="J333" s="78"/>
      <c r="K333" s="78">
        <f>IF(Schedules[[#This Row],[Player 2]]="",Schedules[[#This Row],[Player 1]],Schedules[[#This Row],[Player 1]]&amp;" / "&amp;Schedules[[#This Row],[Player 2]])</f>
        <v>0</v>
      </c>
      <c r="L333" s="78">
        <v>15</v>
      </c>
      <c r="M333" s="78" t="str">
        <f t="shared" si="68"/>
        <v>WIN</v>
      </c>
      <c r="N333" s="78"/>
      <c r="O333" s="78"/>
      <c r="P333" s="78">
        <f>IF(Schedules[[#This Row],[Player 4]]="",Schedules[[#This Row],[Player 3]],Schedules[[#This Row],[Player 3]]&amp;" / "&amp;Schedules[[#This Row],[Player 4]])</f>
        <v>0</v>
      </c>
      <c r="Q333" s="78">
        <v>10</v>
      </c>
      <c r="R333" s="78" t="str">
        <f t="shared" si="69"/>
        <v>LOST</v>
      </c>
      <c r="S333" s="61">
        <f>Input!D83</f>
        <v>0</v>
      </c>
      <c r="T333" s="61">
        <f>Input!E83</f>
        <v>0</v>
      </c>
    </row>
    <row r="334" spans="1:20" hidden="1" x14ac:dyDescent="0.3">
      <c r="A334" s="109" t="s">
        <v>52</v>
      </c>
      <c r="B334" s="78" t="s">
        <v>67</v>
      </c>
      <c r="C334" s="79">
        <f>D333+TIME(0,3,0)</f>
        <v>46117.580555555556</v>
      </c>
      <c r="D334" s="79">
        <f>C334+TIME(0,10,0)</f>
        <v>46117.587500000001</v>
      </c>
      <c r="E334" s="78" t="str">
        <f t="shared" si="67"/>
        <v>Group</v>
      </c>
      <c r="F334" s="78">
        <f t="shared" si="65"/>
        <v>1</v>
      </c>
      <c r="G334" s="78">
        <v>4</v>
      </c>
      <c r="H334" s="78" t="str">
        <f ca="1">IF(OR(S334="",T334=""),"",IFERROR(_xludf.XLOOKUP(S334,'Registrations'!#REF!,'Registrations'!#REF!,_xludf.XLOOKUP(S334,'Registrations'!$B$4:$B$211,'Registrations'!$E$4:$E$211,S334)),S334) &amp; " vs " &amp; IFERROR(_xludf.XLOOKUP(T334,'Registrations'!#REF!,'Registrations'!#REF!,_xludf.XLOOKUP(T334,'Registrations'!$B$4:$B$211,'Registrations'!$E$4:$E$211,T334)),T334))</f>
        <v>0 vs 0</v>
      </c>
      <c r="I334" s="78"/>
      <c r="J334" s="78"/>
      <c r="K334" s="78">
        <f>IF(Schedules[[#This Row],[Player 2]]="",Schedules[[#This Row],[Player 1]],Schedules[[#This Row],[Player 1]]&amp;" / "&amp;Schedules[[#This Row],[Player 2]])</f>
        <v>0</v>
      </c>
      <c r="L334" s="78">
        <v>15</v>
      </c>
      <c r="M334" s="78" t="str">
        <f t="shared" si="68"/>
        <v>WIN</v>
      </c>
      <c r="N334" s="78"/>
      <c r="O334" s="78"/>
      <c r="P334" s="78">
        <f>IF(Schedules[[#This Row],[Player 4]]="",Schedules[[#This Row],[Player 3]],Schedules[[#This Row],[Player 3]]&amp;" / "&amp;Schedules[[#This Row],[Player 4]])</f>
        <v>0</v>
      </c>
      <c r="Q334" s="78">
        <v>10</v>
      </c>
      <c r="R334" s="78" t="str">
        <f t="shared" si="69"/>
        <v>LOST</v>
      </c>
      <c r="S334" s="61">
        <f>Input!B83</f>
        <v>0</v>
      </c>
      <c r="T334" s="61">
        <f>Input!D83</f>
        <v>0</v>
      </c>
    </row>
    <row r="335" spans="1:20" hidden="1" x14ac:dyDescent="0.3">
      <c r="A335" s="109" t="s">
        <v>52</v>
      </c>
      <c r="B335" s="78" t="s">
        <v>67</v>
      </c>
      <c r="C335" s="79">
        <f>C334</f>
        <v>46117.580555555556</v>
      </c>
      <c r="D335" s="79">
        <f>D334</f>
        <v>46117.587500000001</v>
      </c>
      <c r="E335" s="78" t="str">
        <f t="shared" si="67"/>
        <v>Group</v>
      </c>
      <c r="F335" s="78">
        <f t="shared" si="65"/>
        <v>2</v>
      </c>
      <c r="G335" s="78">
        <v>4</v>
      </c>
      <c r="H335" s="78" t="str">
        <f ca="1">IF(OR(S335="",T335=""),"",IFERROR(_xludf.XLOOKUP(S335,'Registrations'!#REF!,'Registrations'!#REF!,_xludf.XLOOKUP(S335,'Registrations'!$B$4:$B$211,'Registrations'!$E$4:$E$211,S335)),S335) &amp; " vs " &amp; IFERROR(_xludf.XLOOKUP(T335,'Registrations'!#REF!,'Registrations'!#REF!,_xludf.XLOOKUP(T335,'Registrations'!$B$4:$B$211,'Registrations'!$E$4:$E$211,T335)),T335))</f>
        <v>0 vs 0</v>
      </c>
      <c r="I335" s="78"/>
      <c r="J335" s="78"/>
      <c r="K335" s="78">
        <f>IF(Schedules[[#This Row],[Player 2]]="",Schedules[[#This Row],[Player 1]],Schedules[[#This Row],[Player 1]]&amp;" / "&amp;Schedules[[#This Row],[Player 2]])</f>
        <v>0</v>
      </c>
      <c r="L335" s="78">
        <v>15</v>
      </c>
      <c r="M335" s="78" t="str">
        <f t="shared" si="68"/>
        <v>WIN</v>
      </c>
      <c r="N335" s="78"/>
      <c r="O335" s="78"/>
      <c r="P335" s="78">
        <f>IF(Schedules[[#This Row],[Player 4]]="",Schedules[[#This Row],[Player 3]],Schedules[[#This Row],[Player 3]]&amp;" / "&amp;Schedules[[#This Row],[Player 4]])</f>
        <v>0</v>
      </c>
      <c r="Q335" s="78">
        <v>10</v>
      </c>
      <c r="R335" s="78" t="str">
        <f t="shared" si="69"/>
        <v>LOST</v>
      </c>
      <c r="S335" s="61">
        <f>Input!C83</f>
        <v>0</v>
      </c>
      <c r="T335" s="61">
        <f>Input!E83</f>
        <v>0</v>
      </c>
    </row>
    <row r="336" spans="1:20" hidden="1" x14ac:dyDescent="0.3">
      <c r="A336" s="109" t="s">
        <v>52</v>
      </c>
      <c r="B336" s="78" t="s">
        <v>67</v>
      </c>
      <c r="C336" s="79">
        <f>C335</f>
        <v>46117.580555555556</v>
      </c>
      <c r="D336" s="79">
        <f>D335</f>
        <v>46117.587500000001</v>
      </c>
      <c r="E336" s="78" t="str">
        <f t="shared" si="67"/>
        <v>Group</v>
      </c>
      <c r="F336" s="78">
        <f t="shared" si="65"/>
        <v>3</v>
      </c>
      <c r="G336" s="78">
        <v>3</v>
      </c>
      <c r="H336" s="78" t="str">
        <f ca="1">IF(OR(S336="",T336=""),"",IFERROR(_xludf.XLOOKUP(S336,'Registrations'!#REF!,'Registrations'!#REF!,_xludf.XLOOKUP(S336,'Registrations'!$B$4:$B$211,'Registrations'!$E$4:$E$211,S336)),S336) &amp; " vs " &amp; IFERROR(_xludf.XLOOKUP(T336,'Registrations'!#REF!,'Registrations'!#REF!,_xludf.XLOOKUP(T336,'Registrations'!$B$4:$B$211,'Registrations'!$E$4:$E$211,T336)),T336))</f>
        <v>0 vs 0</v>
      </c>
      <c r="I336" s="78"/>
      <c r="J336" s="78"/>
      <c r="K336" s="78">
        <f>IF(Schedules[[#This Row],[Player 2]]="",Schedules[[#This Row],[Player 1]],Schedules[[#This Row],[Player 1]]&amp;" / "&amp;Schedules[[#This Row],[Player 2]])</f>
        <v>0</v>
      </c>
      <c r="L336" s="78">
        <v>15</v>
      </c>
      <c r="M336" s="78" t="str">
        <f t="shared" si="68"/>
        <v>WIN</v>
      </c>
      <c r="N336" s="78"/>
      <c r="O336" s="78"/>
      <c r="P336" s="78">
        <f>IF(Schedules[[#This Row],[Player 4]]="",Schedules[[#This Row],[Player 3]],Schedules[[#This Row],[Player 3]]&amp;" / "&amp;Schedules[[#This Row],[Player 4]])</f>
        <v>0</v>
      </c>
      <c r="Q336" s="78">
        <v>10</v>
      </c>
      <c r="R336" s="78" t="str">
        <f t="shared" si="69"/>
        <v>LOST</v>
      </c>
      <c r="S336" s="61">
        <f>Input!B82</f>
        <v>0</v>
      </c>
      <c r="T336" s="61">
        <f>Input!E82</f>
        <v>0</v>
      </c>
    </row>
    <row r="337" spans="1:20" hidden="1" x14ac:dyDescent="0.3">
      <c r="A337" s="109" t="s">
        <v>52</v>
      </c>
      <c r="B337" s="78" t="s">
        <v>67</v>
      </c>
      <c r="C337" s="79">
        <f>D336+TIME(0,3,0)</f>
        <v>46117.589583333334</v>
      </c>
      <c r="D337" s="79">
        <f>C337+TIME(0,10,0)</f>
        <v>46117.59652777778</v>
      </c>
      <c r="E337" s="78" t="str">
        <f t="shared" si="67"/>
        <v>Group</v>
      </c>
      <c r="F337" s="78">
        <f t="shared" si="65"/>
        <v>1</v>
      </c>
      <c r="G337" s="78">
        <v>4</v>
      </c>
      <c r="H337" s="78" t="str">
        <f ca="1">IF(OR(S337="",T337=""),"",IFERROR(_xludf.XLOOKUP(S337,'Registrations'!#REF!,'Registrations'!#REF!,_xludf.XLOOKUP(S337,'Registrations'!$B$4:$B$211,'Registrations'!$E$4:$E$211,S337)),S337) &amp; " vs " &amp; IFERROR(_xludf.XLOOKUP(T337,'Registrations'!#REF!,'Registrations'!#REF!,_xludf.XLOOKUP(T337,'Registrations'!$B$4:$B$211,'Registrations'!$E$4:$E$211,T337)),T337))</f>
        <v>0 vs 0</v>
      </c>
      <c r="I337" s="78"/>
      <c r="J337" s="78"/>
      <c r="K337" s="78">
        <f>IF(Schedules[[#This Row],[Player 2]]="",Schedules[[#This Row],[Player 1]],Schedules[[#This Row],[Player 1]]&amp;" / "&amp;Schedules[[#This Row],[Player 2]])</f>
        <v>0</v>
      </c>
      <c r="L337" s="78">
        <v>15</v>
      </c>
      <c r="M337" s="78" t="str">
        <f t="shared" si="68"/>
        <v>WIN</v>
      </c>
      <c r="N337" s="78"/>
      <c r="O337" s="78"/>
      <c r="P337" s="78">
        <f>IF(Schedules[[#This Row],[Player 4]]="",Schedules[[#This Row],[Player 3]],Schedules[[#This Row],[Player 3]]&amp;" / "&amp;Schedules[[#This Row],[Player 4]])</f>
        <v>0</v>
      </c>
      <c r="Q337" s="78">
        <v>10</v>
      </c>
      <c r="R337" s="78" t="str">
        <f t="shared" si="69"/>
        <v>LOST</v>
      </c>
      <c r="S337" s="61">
        <f>Input!B83</f>
        <v>0</v>
      </c>
      <c r="T337" s="61">
        <f>Input!E83</f>
        <v>0</v>
      </c>
    </row>
    <row r="338" spans="1:20" hidden="1" x14ac:dyDescent="0.3">
      <c r="A338" s="109" t="s">
        <v>52</v>
      </c>
      <c r="B338" s="78" t="s">
        <v>67</v>
      </c>
      <c r="C338" s="79">
        <f>C337</f>
        <v>46117.589583333334</v>
      </c>
      <c r="D338" s="79">
        <f>D337</f>
        <v>46117.59652777778</v>
      </c>
      <c r="E338" s="78" t="str">
        <f t="shared" si="67"/>
        <v>Group</v>
      </c>
      <c r="F338" s="78">
        <f t="shared" si="65"/>
        <v>2</v>
      </c>
      <c r="G338" s="78">
        <v>4</v>
      </c>
      <c r="H338" s="78" t="str">
        <f ca="1">IF(OR(S338="",T338=""),"",IFERROR(_xludf.XLOOKUP(S338,'Registrations'!#REF!,'Registrations'!#REF!,_xludf.XLOOKUP(S338,'Registrations'!$B$4:$B$211,'Registrations'!$E$4:$E$211,S338)),S338) &amp; " vs " &amp; IFERROR(_xludf.XLOOKUP(T338,'Registrations'!#REF!,'Registrations'!#REF!,_xludf.XLOOKUP(T338,'Registrations'!$B$4:$B$211,'Registrations'!$E$4:$E$211,T338)),T338))</f>
        <v>0 vs 0</v>
      </c>
      <c r="I338" s="78"/>
      <c r="J338" s="78"/>
      <c r="K338" s="78">
        <f>IF(Schedules[[#This Row],[Player 2]]="",Schedules[[#This Row],[Player 1]],Schedules[[#This Row],[Player 1]]&amp;" / "&amp;Schedules[[#This Row],[Player 2]])</f>
        <v>0</v>
      </c>
      <c r="L338" s="78">
        <v>15</v>
      </c>
      <c r="M338" s="78" t="str">
        <f t="shared" si="68"/>
        <v>WIN</v>
      </c>
      <c r="N338" s="78"/>
      <c r="O338" s="78"/>
      <c r="P338" s="78">
        <f>IF(Schedules[[#This Row],[Player 4]]="",Schedules[[#This Row],[Player 3]],Schedules[[#This Row],[Player 3]]&amp;" / "&amp;Schedules[[#This Row],[Player 4]])</f>
        <v>0</v>
      </c>
      <c r="Q338" s="78">
        <v>10</v>
      </c>
      <c r="R338" s="78" t="str">
        <f t="shared" si="69"/>
        <v>LOST</v>
      </c>
      <c r="S338" s="61">
        <f>Input!C83</f>
        <v>0</v>
      </c>
      <c r="T338" s="61">
        <f>Input!D83</f>
        <v>0</v>
      </c>
    </row>
    <row r="339" spans="1:20" hidden="1" x14ac:dyDescent="0.3">
      <c r="A339" s="109" t="s">
        <v>52</v>
      </c>
      <c r="B339" s="78" t="s">
        <v>67</v>
      </c>
      <c r="C339" s="79">
        <f>C338</f>
        <v>46117.589583333334</v>
      </c>
      <c r="D339" s="79">
        <f>D338</f>
        <v>46117.59652777778</v>
      </c>
      <c r="E339" s="78" t="str">
        <f t="shared" si="67"/>
        <v>Group</v>
      </c>
      <c r="F339" s="78">
        <f t="shared" si="65"/>
        <v>3</v>
      </c>
      <c r="G339" s="78">
        <v>3</v>
      </c>
      <c r="H339" s="78" t="str">
        <f ca="1">IF(OR(S339="",T339=""),"",IFERROR(_xludf.XLOOKUP(S339,'Registrations'!#REF!,'Registrations'!#REF!,_xludf.XLOOKUP(S339,'Registrations'!$B$4:$B$211,'Registrations'!$E$4:$E$211,S339)),S339) &amp; " vs " &amp; IFERROR(_xludf.XLOOKUP(T339,'Registrations'!#REF!,'Registrations'!#REF!,_xludf.XLOOKUP(T339,'Registrations'!$B$4:$B$211,'Registrations'!$E$4:$E$211,T339)),T339))</f>
        <v>0 vs 0</v>
      </c>
      <c r="I339" s="78"/>
      <c r="J339" s="78"/>
      <c r="K339" s="78">
        <f>IF(Schedules[[#This Row],[Player 2]]="",Schedules[[#This Row],[Player 1]],Schedules[[#This Row],[Player 1]]&amp;" / "&amp;Schedules[[#This Row],[Player 2]])</f>
        <v>0</v>
      </c>
      <c r="L339" s="78">
        <v>15</v>
      </c>
      <c r="M339" s="78" t="str">
        <f t="shared" si="68"/>
        <v>WIN</v>
      </c>
      <c r="N339" s="78"/>
      <c r="O339" s="78"/>
      <c r="P339" s="78">
        <f>IF(Schedules[[#This Row],[Player 4]]="",Schedules[[#This Row],[Player 3]],Schedules[[#This Row],[Player 3]]&amp;" / "&amp;Schedules[[#This Row],[Player 4]])</f>
        <v>0</v>
      </c>
      <c r="Q339" s="78">
        <v>10</v>
      </c>
      <c r="R339" s="78" t="str">
        <f t="shared" si="69"/>
        <v>LOST</v>
      </c>
      <c r="S339" s="61">
        <f>Input!C82</f>
        <v>0</v>
      </c>
      <c r="T339" s="61">
        <f>Input!D82</f>
        <v>0</v>
      </c>
    </row>
    <row r="340" spans="1:20" hidden="1" x14ac:dyDescent="0.3">
      <c r="A340" s="110" t="s">
        <v>52</v>
      </c>
      <c r="B340" s="76" t="s">
        <v>67</v>
      </c>
      <c r="C340" s="77">
        <f>D339+TIME(0,3,0)</f>
        <v>46117.598611111112</v>
      </c>
      <c r="D340" s="77">
        <f>C340+TIME(0,10,0)</f>
        <v>46117.605555555558</v>
      </c>
      <c r="E340" s="76" t="s">
        <v>432</v>
      </c>
      <c r="F340" s="76">
        <f t="shared" si="65"/>
        <v>1</v>
      </c>
      <c r="G340" s="76" t="s">
        <v>430</v>
      </c>
      <c r="H340" s="76" t="str">
        <f ca="1">IF(OR(S340="",T340=""),"",IFERROR(_xludf.XLOOKUP(S340,'Registrations'!#REF!,'Registrations'!#REF!,_xludf.XLOOKUP(S340,'Registrations'!$B$4:$B$211,'Registrations'!$E$4:$E$211,S340)),S340) &amp; " vs " &amp; IFERROR(_xludf.XLOOKUP(T340,'Registrations'!#REF!,'Registrations'!#REF!,_xludf.XLOOKUP(T340,'Registrations'!$B$4:$B$211,'Registrations'!$E$4:$E$211,T340)),T340))</f>
        <v>0 vs 0</v>
      </c>
      <c r="I340" s="76"/>
      <c r="J340" s="76"/>
      <c r="K340" s="76">
        <f>IF(Schedules[[#This Row],[Player 2]]="",Schedules[[#This Row],[Player 1]],Schedules[[#This Row],[Player 1]]&amp;" / "&amp;Schedules[[#This Row],[Player 2]])</f>
        <v>0</v>
      </c>
      <c r="L340" s="76">
        <v>15</v>
      </c>
      <c r="M340" s="76" t="str">
        <f t="shared" si="68"/>
        <v>WIN</v>
      </c>
      <c r="N340" s="76"/>
      <c r="O340" s="76"/>
      <c r="P340" s="76">
        <f>IF(Schedules[[#This Row],[Player 4]]="",Schedules[[#This Row],[Player 3]],Schedules[[#This Row],[Player 3]]&amp;" / "&amp;Schedules[[#This Row],[Player 4]])</f>
        <v>0</v>
      </c>
      <c r="Q340" s="76">
        <v>10</v>
      </c>
      <c r="R340" s="76" t="str">
        <f t="shared" si="69"/>
        <v>LOST</v>
      </c>
      <c r="S340" s="61">
        <f>Input!H82</f>
        <v>0</v>
      </c>
      <c r="T340" s="61">
        <f>Input!I82</f>
        <v>0</v>
      </c>
    </row>
    <row r="341" spans="1:20" hidden="1" x14ac:dyDescent="0.3">
      <c r="A341" s="110" t="s">
        <v>52</v>
      </c>
      <c r="B341" s="76" t="s">
        <v>67</v>
      </c>
      <c r="C341" s="77">
        <f>C340</f>
        <v>46117.598611111112</v>
      </c>
      <c r="D341" s="77">
        <f>D340</f>
        <v>46117.605555555558</v>
      </c>
      <c r="E341" s="76" t="str">
        <f>E340</f>
        <v>Pre-Q</v>
      </c>
      <c r="F341" s="76">
        <f t="shared" si="65"/>
        <v>2</v>
      </c>
      <c r="G341" s="76" t="s">
        <v>430</v>
      </c>
      <c r="H341" s="76" t="str">
        <f ca="1">IF(OR(S341="",T341=""),"",IFERROR(_xludf.XLOOKUP(S341,'Registrations'!#REF!,'Registrations'!#REF!,_xludf.XLOOKUP(S341,'Registrations'!$B$4:$B$211,'Registrations'!$E$4:$E$211,S341)),S341) &amp; " vs " &amp; IFERROR(_xludf.XLOOKUP(T341,'Registrations'!#REF!,'Registrations'!#REF!,_xludf.XLOOKUP(T341,'Registrations'!$B$4:$B$211,'Registrations'!$E$4:$E$211,T341)),T341))</f>
        <v>0 vs 0</v>
      </c>
      <c r="I341" s="76"/>
      <c r="J341" s="76"/>
      <c r="K341" s="76">
        <f>IF(Schedules[[#This Row],[Player 2]]="",Schedules[[#This Row],[Player 1]],Schedules[[#This Row],[Player 1]]&amp;" / "&amp;Schedules[[#This Row],[Player 2]])</f>
        <v>0</v>
      </c>
      <c r="L341" s="76">
        <v>15</v>
      </c>
      <c r="M341" s="76" t="str">
        <f t="shared" si="68"/>
        <v>WIN</v>
      </c>
      <c r="N341" s="76"/>
      <c r="O341" s="76"/>
      <c r="P341" s="76">
        <f>IF(Schedules[[#This Row],[Player 4]]="",Schedules[[#This Row],[Player 3]],Schedules[[#This Row],[Player 3]]&amp;" / "&amp;Schedules[[#This Row],[Player 4]])</f>
        <v>0</v>
      </c>
      <c r="Q341" s="76">
        <v>10</v>
      </c>
      <c r="R341" s="76" t="str">
        <f t="shared" si="69"/>
        <v>LOST</v>
      </c>
      <c r="S341" s="61">
        <f>Input!H83</f>
        <v>0</v>
      </c>
      <c r="T341" s="61">
        <f>Input!I83</f>
        <v>0</v>
      </c>
    </row>
    <row r="342" spans="1:20" hidden="1" x14ac:dyDescent="0.3">
      <c r="A342" s="109" t="s">
        <v>52</v>
      </c>
      <c r="B342" s="78" t="s">
        <v>67</v>
      </c>
      <c r="C342" s="79">
        <f>C341</f>
        <v>46117.598611111112</v>
      </c>
      <c r="D342" s="79">
        <f>D341</f>
        <v>46117.605555555558</v>
      </c>
      <c r="E342" s="78" t="s">
        <v>433</v>
      </c>
      <c r="F342" s="78">
        <f t="shared" si="65"/>
        <v>3</v>
      </c>
      <c r="G342" s="78">
        <v>5</v>
      </c>
      <c r="H342" s="78" t="str">
        <f ca="1">IF(OR(S342="",T342=""),"",IFERROR(_xludf.XLOOKUP(S342,'Registrations'!#REF!,'Registrations'!#REF!,_xludf.XLOOKUP(S342,'Registrations'!$B$4:$B$211,'Registrations'!$E$4:$E$211,S342)),S342) &amp; " vs " &amp; IFERROR(_xludf.XLOOKUP(T342,'Registrations'!#REF!,'Registrations'!#REF!,_xludf.XLOOKUP(T342,'Registrations'!$B$4:$B$211,'Registrations'!$E$4:$E$211,T342)),T342))</f>
        <v>0 vs 0</v>
      </c>
      <c r="I342" s="78"/>
      <c r="J342" s="78"/>
      <c r="K342" s="78">
        <f>IF(Schedules[[#This Row],[Player 2]]="",Schedules[[#This Row],[Player 1]],Schedules[[#This Row],[Player 1]]&amp;" / "&amp;Schedules[[#This Row],[Player 2]])</f>
        <v>0</v>
      </c>
      <c r="L342" s="78">
        <v>15</v>
      </c>
      <c r="M342" s="78" t="str">
        <f t="shared" si="68"/>
        <v>WIN</v>
      </c>
      <c r="N342" s="78"/>
      <c r="O342" s="78"/>
      <c r="P342" s="78">
        <f>IF(Schedules[[#This Row],[Player 4]]="",Schedules[[#This Row],[Player 3]],Schedules[[#This Row],[Player 3]]&amp;" / "&amp;Schedules[[#This Row],[Player 4]])</f>
        <v>0</v>
      </c>
      <c r="Q342" s="78">
        <v>10</v>
      </c>
      <c r="R342" s="78" t="str">
        <f t="shared" si="69"/>
        <v>LOST</v>
      </c>
      <c r="S342" s="61">
        <f>Input!B84</f>
        <v>0</v>
      </c>
      <c r="T342" s="61">
        <f>Input!C84</f>
        <v>0</v>
      </c>
    </row>
    <row r="343" spans="1:20" hidden="1" x14ac:dyDescent="0.3">
      <c r="A343" s="109" t="s">
        <v>52</v>
      </c>
      <c r="B343" s="78" t="s">
        <v>67</v>
      </c>
      <c r="C343" s="79">
        <f>D342+TIME(0,3,0)</f>
        <v>46117.607638888891</v>
      </c>
      <c r="D343" s="79">
        <f>C343+TIME(0,10,0)</f>
        <v>46117.614583333336</v>
      </c>
      <c r="E343" s="78" t="str">
        <f t="shared" ref="E343:E353" si="70">E342</f>
        <v>Group</v>
      </c>
      <c r="F343" s="78">
        <f t="shared" si="65"/>
        <v>1</v>
      </c>
      <c r="G343" s="78">
        <v>5</v>
      </c>
      <c r="H343" s="78" t="str">
        <f ca="1">IF(OR(S343="",T343=""),"",IFERROR(_xludf.XLOOKUP(S343,'Registrations'!#REF!,'Registrations'!#REF!,_xludf.XLOOKUP(S343,'Registrations'!$B$4:$B$211,'Registrations'!$E$4:$E$211,S343)),S343) &amp; " vs " &amp; IFERROR(_xludf.XLOOKUP(T343,'Registrations'!#REF!,'Registrations'!#REF!,_xludf.XLOOKUP(T343,'Registrations'!$B$4:$B$211,'Registrations'!$E$4:$E$211,T343)),T343))</f>
        <v>0 vs 0</v>
      </c>
      <c r="I343" s="78"/>
      <c r="J343" s="78"/>
      <c r="K343" s="78">
        <f>IF(Schedules[[#This Row],[Player 2]]="",Schedules[[#This Row],[Player 1]],Schedules[[#This Row],[Player 1]]&amp;" / "&amp;Schedules[[#This Row],[Player 2]])</f>
        <v>0</v>
      </c>
      <c r="L343" s="78">
        <v>15</v>
      </c>
      <c r="M343" s="78" t="str">
        <f t="shared" si="68"/>
        <v>WIN</v>
      </c>
      <c r="N343" s="78"/>
      <c r="O343" s="78"/>
      <c r="P343" s="78">
        <f>IF(Schedules[[#This Row],[Player 4]]="",Schedules[[#This Row],[Player 3]],Schedules[[#This Row],[Player 3]]&amp;" / "&amp;Schedules[[#This Row],[Player 4]])</f>
        <v>0</v>
      </c>
      <c r="Q343" s="78">
        <v>10</v>
      </c>
      <c r="R343" s="78" t="str">
        <f t="shared" si="69"/>
        <v>LOST</v>
      </c>
      <c r="S343" s="61">
        <f>Input!D84</f>
        <v>0</v>
      </c>
      <c r="T343" s="61">
        <f>Input!E84</f>
        <v>0</v>
      </c>
    </row>
    <row r="344" spans="1:20" hidden="1" x14ac:dyDescent="0.3">
      <c r="A344" s="109" t="s">
        <v>52</v>
      </c>
      <c r="B344" s="78" t="s">
        <v>67</v>
      </c>
      <c r="C344" s="79">
        <f>C343</f>
        <v>46117.607638888891</v>
      </c>
      <c r="D344" s="79">
        <f>D343</f>
        <v>46117.614583333336</v>
      </c>
      <c r="E344" s="78" t="str">
        <f t="shared" si="70"/>
        <v>Group</v>
      </c>
      <c r="F344" s="78">
        <f t="shared" si="65"/>
        <v>2</v>
      </c>
      <c r="G344" s="78">
        <v>6</v>
      </c>
      <c r="H344" s="78" t="str">
        <f ca="1">IF(OR(S344="",T344=""),"",IFERROR(_xludf.XLOOKUP(S344,'Registrations'!#REF!,'Registrations'!#REF!,_xludf.XLOOKUP(S344,'Registrations'!$B$4:$B$211,'Registrations'!$E$4:$E$211,S344)),S344) &amp; " vs " &amp; IFERROR(_xludf.XLOOKUP(T344,'Registrations'!#REF!,'Registrations'!#REF!,_xludf.XLOOKUP(T344,'Registrations'!$B$4:$B$211,'Registrations'!$E$4:$E$211,T344)),T344))</f>
        <v>0 vs 0</v>
      </c>
      <c r="I344" s="78"/>
      <c r="J344" s="78"/>
      <c r="K344" s="78">
        <f>IF(Schedules[[#This Row],[Player 2]]="",Schedules[[#This Row],[Player 1]],Schedules[[#This Row],[Player 1]]&amp;" / "&amp;Schedules[[#This Row],[Player 2]])</f>
        <v>0</v>
      </c>
      <c r="L344" s="78">
        <v>15</v>
      </c>
      <c r="M344" s="78" t="str">
        <f t="shared" si="68"/>
        <v>WIN</v>
      </c>
      <c r="N344" s="78"/>
      <c r="O344" s="78"/>
      <c r="P344" s="78">
        <f>IF(Schedules[[#This Row],[Player 4]]="",Schedules[[#This Row],[Player 3]],Schedules[[#This Row],[Player 3]]&amp;" / "&amp;Schedules[[#This Row],[Player 4]])</f>
        <v>0</v>
      </c>
      <c r="Q344" s="78">
        <v>10</v>
      </c>
      <c r="R344" s="78" t="str">
        <f t="shared" si="69"/>
        <v>LOST</v>
      </c>
      <c r="S344" s="61">
        <f>Input!B85</f>
        <v>0</v>
      </c>
      <c r="T344" s="61">
        <f>Input!C85</f>
        <v>0</v>
      </c>
    </row>
    <row r="345" spans="1:20" hidden="1" x14ac:dyDescent="0.3">
      <c r="A345" s="109" t="s">
        <v>52</v>
      </c>
      <c r="B345" s="78" t="s">
        <v>67</v>
      </c>
      <c r="C345" s="79">
        <f>C344</f>
        <v>46117.607638888891</v>
      </c>
      <c r="D345" s="79">
        <f>D344</f>
        <v>46117.614583333336</v>
      </c>
      <c r="E345" s="78" t="str">
        <f t="shared" si="70"/>
        <v>Group</v>
      </c>
      <c r="F345" s="78">
        <f t="shared" si="65"/>
        <v>3</v>
      </c>
      <c r="G345" s="78">
        <v>5</v>
      </c>
      <c r="H345" s="78" t="str">
        <f ca="1">IF(OR(S345="",T345=""),"",IFERROR(_xludf.XLOOKUP(S345,'Registrations'!#REF!,'Registrations'!#REF!,_xludf.XLOOKUP(S345,'Registrations'!$B$4:$B$211,'Registrations'!$E$4:$E$211,S345)),S345) &amp; " vs " &amp; IFERROR(_xludf.XLOOKUP(T345,'Registrations'!#REF!,'Registrations'!#REF!,_xludf.XLOOKUP(T345,'Registrations'!$B$4:$B$211,'Registrations'!$E$4:$E$211,T345)),T345))</f>
        <v>0 vs 0</v>
      </c>
      <c r="I345" s="78"/>
      <c r="J345" s="78"/>
      <c r="K345" s="78">
        <f>IF(Schedules[[#This Row],[Player 2]]="",Schedules[[#This Row],[Player 1]],Schedules[[#This Row],[Player 1]]&amp;" / "&amp;Schedules[[#This Row],[Player 2]])</f>
        <v>0</v>
      </c>
      <c r="L345" s="78">
        <v>15</v>
      </c>
      <c r="M345" s="78" t="str">
        <f t="shared" si="68"/>
        <v>WIN</v>
      </c>
      <c r="N345" s="78"/>
      <c r="O345" s="78"/>
      <c r="P345" s="78">
        <f>IF(Schedules[[#This Row],[Player 4]]="",Schedules[[#This Row],[Player 3]],Schedules[[#This Row],[Player 3]]&amp;" / "&amp;Schedules[[#This Row],[Player 4]])</f>
        <v>0</v>
      </c>
      <c r="Q345" s="78">
        <v>10</v>
      </c>
      <c r="R345" s="78" t="str">
        <f t="shared" si="69"/>
        <v>LOST</v>
      </c>
      <c r="S345" s="61">
        <f>Input!B84</f>
        <v>0</v>
      </c>
      <c r="T345" s="61">
        <f>Input!D84</f>
        <v>0</v>
      </c>
    </row>
    <row r="346" spans="1:20" hidden="1" x14ac:dyDescent="0.3">
      <c r="A346" s="109" t="s">
        <v>52</v>
      </c>
      <c r="B346" s="78" t="s">
        <v>67</v>
      </c>
      <c r="C346" s="79">
        <f>D345+TIME(0,3,0)</f>
        <v>46117.616666666669</v>
      </c>
      <c r="D346" s="79">
        <f>C346+TIME(0,10,0)</f>
        <v>46117.623611111114</v>
      </c>
      <c r="E346" s="78" t="str">
        <f t="shared" si="70"/>
        <v>Group</v>
      </c>
      <c r="F346" s="78">
        <f t="shared" si="65"/>
        <v>1</v>
      </c>
      <c r="G346" s="78">
        <v>5</v>
      </c>
      <c r="H346" s="78" t="str">
        <f ca="1">IF(OR(S346="",T346=""),"",IFERROR(_xludf.XLOOKUP(S346,'Registrations'!#REF!,'Registrations'!#REF!,_xludf.XLOOKUP(S346,'Registrations'!$B$4:$B$211,'Registrations'!$E$4:$E$211,S346)),S346) &amp; " vs " &amp; IFERROR(_xludf.XLOOKUP(T346,'Registrations'!#REF!,'Registrations'!#REF!,_xludf.XLOOKUP(T346,'Registrations'!$B$4:$B$211,'Registrations'!$E$4:$E$211,T346)),T346))</f>
        <v>0 vs 0</v>
      </c>
      <c r="I346" s="78"/>
      <c r="J346" s="78"/>
      <c r="K346" s="78">
        <f>IF(Schedules[[#This Row],[Player 2]]="",Schedules[[#This Row],[Player 1]],Schedules[[#This Row],[Player 1]]&amp;" / "&amp;Schedules[[#This Row],[Player 2]])</f>
        <v>0</v>
      </c>
      <c r="L346" s="78">
        <v>15</v>
      </c>
      <c r="M346" s="78" t="str">
        <f t="shared" si="68"/>
        <v>WIN</v>
      </c>
      <c r="N346" s="78"/>
      <c r="O346" s="78"/>
      <c r="P346" s="78">
        <f>IF(Schedules[[#This Row],[Player 4]]="",Schedules[[#This Row],[Player 3]],Schedules[[#This Row],[Player 3]]&amp;" / "&amp;Schedules[[#This Row],[Player 4]])</f>
        <v>0</v>
      </c>
      <c r="Q346" s="78">
        <v>10</v>
      </c>
      <c r="R346" s="78" t="str">
        <f t="shared" si="69"/>
        <v>LOST</v>
      </c>
      <c r="S346" s="61">
        <f>Input!C84</f>
        <v>0</v>
      </c>
      <c r="T346" s="61">
        <f>Input!E84</f>
        <v>0</v>
      </c>
    </row>
    <row r="347" spans="1:20" hidden="1" x14ac:dyDescent="0.3">
      <c r="A347" s="109" t="s">
        <v>52</v>
      </c>
      <c r="B347" s="78" t="s">
        <v>67</v>
      </c>
      <c r="C347" s="79">
        <f>C346</f>
        <v>46117.616666666669</v>
      </c>
      <c r="D347" s="79">
        <f>D346</f>
        <v>46117.623611111114</v>
      </c>
      <c r="E347" s="78" t="str">
        <f t="shared" si="70"/>
        <v>Group</v>
      </c>
      <c r="F347" s="78">
        <f t="shared" si="65"/>
        <v>2</v>
      </c>
      <c r="G347" s="78">
        <v>6</v>
      </c>
      <c r="H347" s="78" t="str">
        <f ca="1">IF(OR(S347="",T347=""),"",IFERROR(_xludf.XLOOKUP(S347,'Registrations'!#REF!,'Registrations'!#REF!,_xludf.XLOOKUP(S347,'Registrations'!$B$4:$B$211,'Registrations'!$E$4:$E$211,S347)),S347) &amp; " vs " &amp; IFERROR(_xludf.XLOOKUP(T347,'Registrations'!#REF!,'Registrations'!#REF!,_xludf.XLOOKUP(T347,'Registrations'!$B$4:$B$211,'Registrations'!$E$4:$E$211,T347)),T347))</f>
        <v>0 vs 0</v>
      </c>
      <c r="I347" s="78"/>
      <c r="J347" s="78"/>
      <c r="K347" s="78">
        <f>IF(Schedules[[#This Row],[Player 2]]="",Schedules[[#This Row],[Player 1]],Schedules[[#This Row],[Player 1]]&amp;" / "&amp;Schedules[[#This Row],[Player 2]])</f>
        <v>0</v>
      </c>
      <c r="L347" s="78">
        <v>15</v>
      </c>
      <c r="M347" s="78" t="str">
        <f t="shared" si="68"/>
        <v>WIN</v>
      </c>
      <c r="N347" s="78"/>
      <c r="O347" s="78"/>
      <c r="P347" s="78">
        <f>IF(Schedules[[#This Row],[Player 4]]="",Schedules[[#This Row],[Player 3]],Schedules[[#This Row],[Player 3]]&amp;" / "&amp;Schedules[[#This Row],[Player 4]])</f>
        <v>0</v>
      </c>
      <c r="Q347" s="78">
        <v>10</v>
      </c>
      <c r="R347" s="78" t="str">
        <f t="shared" si="69"/>
        <v>LOST</v>
      </c>
      <c r="S347" s="61">
        <f>Input!D85</f>
        <v>0</v>
      </c>
      <c r="T347" s="61">
        <f>Input!E85</f>
        <v>0</v>
      </c>
    </row>
    <row r="348" spans="1:20" hidden="1" x14ac:dyDescent="0.3">
      <c r="A348" s="109" t="s">
        <v>52</v>
      </c>
      <c r="B348" s="78" t="s">
        <v>67</v>
      </c>
      <c r="C348" s="79">
        <f>C347</f>
        <v>46117.616666666669</v>
      </c>
      <c r="D348" s="79">
        <f>D347</f>
        <v>46117.623611111114</v>
      </c>
      <c r="E348" s="78" t="str">
        <f t="shared" si="70"/>
        <v>Group</v>
      </c>
      <c r="F348" s="78">
        <f t="shared" si="65"/>
        <v>3</v>
      </c>
      <c r="G348" s="78">
        <v>6</v>
      </c>
      <c r="H348" s="78" t="str">
        <f ca="1">IF(OR(S348="",T348=""),"",IFERROR(_xludf.XLOOKUP(S348,'Registrations'!#REF!,'Registrations'!#REF!,_xludf.XLOOKUP(S348,'Registrations'!$B$4:$B$211,'Registrations'!$E$4:$E$211,S348)),S348) &amp; " vs " &amp; IFERROR(_xludf.XLOOKUP(T348,'Registrations'!#REF!,'Registrations'!#REF!,_xludf.XLOOKUP(T348,'Registrations'!$B$4:$B$211,'Registrations'!$E$4:$E$211,T348)),T348))</f>
        <v>0 vs 0</v>
      </c>
      <c r="I348" s="78"/>
      <c r="J348" s="78"/>
      <c r="K348" s="78">
        <f>IF(Schedules[[#This Row],[Player 2]]="",Schedules[[#This Row],[Player 1]],Schedules[[#This Row],[Player 1]]&amp;" / "&amp;Schedules[[#This Row],[Player 2]])</f>
        <v>0</v>
      </c>
      <c r="L348" s="78">
        <v>15</v>
      </c>
      <c r="M348" s="78" t="str">
        <f t="shared" si="68"/>
        <v>WIN</v>
      </c>
      <c r="N348" s="78"/>
      <c r="O348" s="78"/>
      <c r="P348" s="78">
        <f>IF(Schedules[[#This Row],[Player 4]]="",Schedules[[#This Row],[Player 3]],Schedules[[#This Row],[Player 3]]&amp;" / "&amp;Schedules[[#This Row],[Player 4]])</f>
        <v>0</v>
      </c>
      <c r="Q348" s="78">
        <v>10</v>
      </c>
      <c r="R348" s="78" t="str">
        <f t="shared" si="69"/>
        <v>LOST</v>
      </c>
      <c r="S348" s="61">
        <f>Input!B85</f>
        <v>0</v>
      </c>
      <c r="T348" s="61">
        <f>Input!D85</f>
        <v>0</v>
      </c>
    </row>
    <row r="349" spans="1:20" hidden="1" x14ac:dyDescent="0.3">
      <c r="A349" s="109" t="s">
        <v>52</v>
      </c>
      <c r="B349" s="78" t="s">
        <v>67</v>
      </c>
      <c r="C349" s="79">
        <f>D348+TIME(0,3,0)</f>
        <v>46117.625694444447</v>
      </c>
      <c r="D349" s="79">
        <f>C349+TIME(0,10,0)</f>
        <v>46117.632638888892</v>
      </c>
      <c r="E349" s="78" t="str">
        <f t="shared" si="70"/>
        <v>Group</v>
      </c>
      <c r="F349" s="78">
        <f t="shared" si="65"/>
        <v>1</v>
      </c>
      <c r="G349" s="78">
        <v>6</v>
      </c>
      <c r="H349" s="78" t="str">
        <f ca="1">IF(OR(S349="",T349=""),"",IFERROR(_xludf.XLOOKUP(S349,'Registrations'!#REF!,'Registrations'!#REF!,_xludf.XLOOKUP(S349,'Registrations'!$B$4:$B$211,'Registrations'!$E$4:$E$211,S349)),S349) &amp; " vs " &amp; IFERROR(_xludf.XLOOKUP(T349,'Registrations'!#REF!,'Registrations'!#REF!,_xludf.XLOOKUP(T349,'Registrations'!$B$4:$B$211,'Registrations'!$E$4:$E$211,T349)),T349))</f>
        <v>0 vs 0</v>
      </c>
      <c r="I349" s="78"/>
      <c r="J349" s="78"/>
      <c r="K349" s="78">
        <f>IF(Schedules[[#This Row],[Player 2]]="",Schedules[[#This Row],[Player 1]],Schedules[[#This Row],[Player 1]]&amp;" / "&amp;Schedules[[#This Row],[Player 2]])</f>
        <v>0</v>
      </c>
      <c r="L349" s="78">
        <v>15</v>
      </c>
      <c r="M349" s="78" t="str">
        <f t="shared" si="68"/>
        <v>WIN</v>
      </c>
      <c r="N349" s="78"/>
      <c r="O349" s="78"/>
      <c r="P349" s="78">
        <f>IF(Schedules[[#This Row],[Player 4]]="",Schedules[[#This Row],[Player 3]],Schedules[[#This Row],[Player 3]]&amp;" / "&amp;Schedules[[#This Row],[Player 4]])</f>
        <v>0</v>
      </c>
      <c r="Q349" s="78">
        <v>10</v>
      </c>
      <c r="R349" s="78" t="str">
        <f t="shared" si="69"/>
        <v>LOST</v>
      </c>
      <c r="S349" s="61">
        <f>Input!C85</f>
        <v>0</v>
      </c>
      <c r="T349" s="61">
        <f>Input!E85</f>
        <v>0</v>
      </c>
    </row>
    <row r="350" spans="1:20" hidden="1" x14ac:dyDescent="0.3">
      <c r="A350" s="109" t="s">
        <v>52</v>
      </c>
      <c r="B350" s="78" t="s">
        <v>67</v>
      </c>
      <c r="C350" s="79">
        <f>C349</f>
        <v>46117.625694444447</v>
      </c>
      <c r="D350" s="79">
        <f>D349</f>
        <v>46117.632638888892</v>
      </c>
      <c r="E350" s="78" t="str">
        <f t="shared" si="70"/>
        <v>Group</v>
      </c>
      <c r="F350" s="78">
        <f t="shared" si="65"/>
        <v>2</v>
      </c>
      <c r="G350" s="78">
        <v>5</v>
      </c>
      <c r="H350" s="78" t="str">
        <f ca="1">IF(OR(S350="",T350=""),"",IFERROR(_xludf.XLOOKUP(S350,'Registrations'!#REF!,'Registrations'!#REF!,_xludf.XLOOKUP(S350,'Registrations'!$B$4:$B$211,'Registrations'!$E$4:$E$211,S350)),S350) &amp; " vs " &amp; IFERROR(_xludf.XLOOKUP(T350,'Registrations'!#REF!,'Registrations'!#REF!,_xludf.XLOOKUP(T350,'Registrations'!$B$4:$B$211,'Registrations'!$E$4:$E$211,T350)),T350))</f>
        <v>0 vs 0</v>
      </c>
      <c r="I350" s="78"/>
      <c r="J350" s="78"/>
      <c r="K350" s="78">
        <f>IF(Schedules[[#This Row],[Player 2]]="",Schedules[[#This Row],[Player 1]],Schedules[[#This Row],[Player 1]]&amp;" / "&amp;Schedules[[#This Row],[Player 2]])</f>
        <v>0</v>
      </c>
      <c r="L350" s="78">
        <v>15</v>
      </c>
      <c r="M350" s="78" t="str">
        <f t="shared" si="68"/>
        <v>WIN</v>
      </c>
      <c r="N350" s="78"/>
      <c r="O350" s="78"/>
      <c r="P350" s="78">
        <f>IF(Schedules[[#This Row],[Player 4]]="",Schedules[[#This Row],[Player 3]],Schedules[[#This Row],[Player 3]]&amp;" / "&amp;Schedules[[#This Row],[Player 4]])</f>
        <v>0</v>
      </c>
      <c r="Q350" s="78">
        <v>10</v>
      </c>
      <c r="R350" s="78" t="str">
        <f t="shared" si="69"/>
        <v>LOST</v>
      </c>
      <c r="S350" s="61">
        <f>Input!B84</f>
        <v>0</v>
      </c>
      <c r="T350" s="61">
        <f>Input!E84</f>
        <v>0</v>
      </c>
    </row>
    <row r="351" spans="1:20" hidden="1" x14ac:dyDescent="0.3">
      <c r="A351" s="109" t="s">
        <v>52</v>
      </c>
      <c r="B351" s="78" t="s">
        <v>67</v>
      </c>
      <c r="C351" s="79">
        <f>C350</f>
        <v>46117.625694444447</v>
      </c>
      <c r="D351" s="79">
        <f>D350</f>
        <v>46117.632638888892</v>
      </c>
      <c r="E351" s="78" t="str">
        <f t="shared" si="70"/>
        <v>Group</v>
      </c>
      <c r="F351" s="78">
        <f t="shared" si="65"/>
        <v>3</v>
      </c>
      <c r="G351" s="78">
        <v>6</v>
      </c>
      <c r="H351" s="78" t="str">
        <f ca="1">IF(OR(S351="",T351=""),"",IFERROR(_xludf.XLOOKUP(S351,'Registrations'!#REF!,'Registrations'!#REF!,_xludf.XLOOKUP(S351,'Registrations'!$B$4:$B$211,'Registrations'!$E$4:$E$211,S351)),S351) &amp; " vs " &amp; IFERROR(_xludf.XLOOKUP(T351,'Registrations'!#REF!,'Registrations'!#REF!,_xludf.XLOOKUP(T351,'Registrations'!$B$4:$B$211,'Registrations'!$E$4:$E$211,T351)),T351))</f>
        <v>0 vs 0</v>
      </c>
      <c r="I351" s="78"/>
      <c r="J351" s="78"/>
      <c r="K351" s="78">
        <f>IF(Schedules[[#This Row],[Player 2]]="",Schedules[[#This Row],[Player 1]],Schedules[[#This Row],[Player 1]]&amp;" / "&amp;Schedules[[#This Row],[Player 2]])</f>
        <v>0</v>
      </c>
      <c r="L351" s="78">
        <v>15</v>
      </c>
      <c r="M351" s="78" t="str">
        <f t="shared" si="68"/>
        <v>WIN</v>
      </c>
      <c r="N351" s="78"/>
      <c r="O351" s="78"/>
      <c r="P351" s="78">
        <f>IF(Schedules[[#This Row],[Player 4]]="",Schedules[[#This Row],[Player 3]],Schedules[[#This Row],[Player 3]]&amp;" / "&amp;Schedules[[#This Row],[Player 4]])</f>
        <v>0</v>
      </c>
      <c r="Q351" s="78">
        <v>10</v>
      </c>
      <c r="R351" s="78" t="str">
        <f t="shared" si="69"/>
        <v>LOST</v>
      </c>
      <c r="S351" s="61">
        <f>Input!B85</f>
        <v>0</v>
      </c>
      <c r="T351" s="61">
        <f>Input!E85</f>
        <v>0</v>
      </c>
    </row>
    <row r="352" spans="1:20" hidden="1" x14ac:dyDescent="0.3">
      <c r="A352" s="109" t="s">
        <v>52</v>
      </c>
      <c r="B352" s="78" t="s">
        <v>67</v>
      </c>
      <c r="C352" s="79">
        <f>D351+TIME(0,3,0)</f>
        <v>46117.634722222225</v>
      </c>
      <c r="D352" s="79">
        <f>C352+TIME(0,10,0)</f>
        <v>46117.64166666667</v>
      </c>
      <c r="E352" s="78" t="str">
        <f t="shared" si="70"/>
        <v>Group</v>
      </c>
      <c r="F352" s="78">
        <f t="shared" ref="F352:F383" si="71">F349</f>
        <v>1</v>
      </c>
      <c r="G352" s="78">
        <v>6</v>
      </c>
      <c r="H352" s="78" t="str">
        <f ca="1">IF(OR(S352="",T352=""),"",IFERROR(_xludf.XLOOKUP(S352,'Registrations'!#REF!,'Registrations'!#REF!,_xludf.XLOOKUP(S352,'Registrations'!$B$4:$B$211,'Registrations'!$E$4:$E$211,S352)),S352) &amp; " vs " &amp; IFERROR(_xludf.XLOOKUP(T352,'Registrations'!#REF!,'Registrations'!#REF!,_xludf.XLOOKUP(T352,'Registrations'!$B$4:$B$211,'Registrations'!$E$4:$E$211,T352)),T352))</f>
        <v>0 vs 0</v>
      </c>
      <c r="I352" s="78"/>
      <c r="J352" s="78"/>
      <c r="K352" s="78">
        <f>IF(Schedules[[#This Row],[Player 2]]="",Schedules[[#This Row],[Player 1]],Schedules[[#This Row],[Player 1]]&amp;" / "&amp;Schedules[[#This Row],[Player 2]])</f>
        <v>0</v>
      </c>
      <c r="L352" s="78">
        <v>15</v>
      </c>
      <c r="M352" s="78" t="str">
        <f t="shared" si="68"/>
        <v>WIN</v>
      </c>
      <c r="N352" s="78"/>
      <c r="O352" s="78"/>
      <c r="P352" s="78">
        <f>IF(Schedules[[#This Row],[Player 4]]="",Schedules[[#This Row],[Player 3]],Schedules[[#This Row],[Player 3]]&amp;" / "&amp;Schedules[[#This Row],[Player 4]])</f>
        <v>0</v>
      </c>
      <c r="Q352" s="78">
        <v>10</v>
      </c>
      <c r="R352" s="78" t="str">
        <f t="shared" si="69"/>
        <v>LOST</v>
      </c>
      <c r="S352" s="61">
        <f>Input!C85</f>
        <v>0</v>
      </c>
      <c r="T352" s="61">
        <f>Input!D85</f>
        <v>0</v>
      </c>
    </row>
    <row r="353" spans="1:20" hidden="1" x14ac:dyDescent="0.3">
      <c r="A353" s="109" t="s">
        <v>52</v>
      </c>
      <c r="B353" s="78" t="s">
        <v>67</v>
      </c>
      <c r="C353" s="79">
        <f>C352</f>
        <v>46117.634722222225</v>
      </c>
      <c r="D353" s="79">
        <f>D352</f>
        <v>46117.64166666667</v>
      </c>
      <c r="E353" s="78" t="str">
        <f t="shared" si="70"/>
        <v>Group</v>
      </c>
      <c r="F353" s="78">
        <f t="shared" si="71"/>
        <v>2</v>
      </c>
      <c r="G353" s="78">
        <v>5</v>
      </c>
      <c r="H353" s="78" t="str">
        <f ca="1">IF(OR(S353="",T353=""),"",IFERROR(_xludf.XLOOKUP(S353,'Registrations'!#REF!,'Registrations'!#REF!,_xludf.XLOOKUP(S353,'Registrations'!$B$4:$B$211,'Registrations'!$E$4:$E$211,S353)),S353) &amp; " vs " &amp; IFERROR(_xludf.XLOOKUP(T353,'Registrations'!#REF!,'Registrations'!#REF!,_xludf.XLOOKUP(T353,'Registrations'!$B$4:$B$211,'Registrations'!$E$4:$E$211,T353)),T353))</f>
        <v>0 vs 0</v>
      </c>
      <c r="I353" s="78"/>
      <c r="J353" s="78"/>
      <c r="K353" s="78">
        <f>IF(Schedules[[#This Row],[Player 2]]="",Schedules[[#This Row],[Player 1]],Schedules[[#This Row],[Player 1]]&amp;" / "&amp;Schedules[[#This Row],[Player 2]])</f>
        <v>0</v>
      </c>
      <c r="L353" s="78">
        <v>15</v>
      </c>
      <c r="M353" s="78" t="str">
        <f t="shared" si="68"/>
        <v>WIN</v>
      </c>
      <c r="N353" s="78"/>
      <c r="O353" s="78"/>
      <c r="P353" s="78">
        <f>IF(Schedules[[#This Row],[Player 4]]="",Schedules[[#This Row],[Player 3]],Schedules[[#This Row],[Player 3]]&amp;" / "&amp;Schedules[[#This Row],[Player 4]])</f>
        <v>0</v>
      </c>
      <c r="Q353" s="78">
        <v>10</v>
      </c>
      <c r="R353" s="78" t="str">
        <f t="shared" si="69"/>
        <v>LOST</v>
      </c>
      <c r="S353" s="61">
        <f>Input!C84</f>
        <v>0</v>
      </c>
      <c r="T353" s="61">
        <f>Input!D84</f>
        <v>0</v>
      </c>
    </row>
    <row r="354" spans="1:20" hidden="1" x14ac:dyDescent="0.3">
      <c r="A354" s="110" t="s">
        <v>52</v>
      </c>
      <c r="B354" s="76" t="s">
        <v>67</v>
      </c>
      <c r="C354" s="77">
        <f>C353</f>
        <v>46117.634722222225</v>
      </c>
      <c r="D354" s="77">
        <f>D353</f>
        <v>46117.64166666667</v>
      </c>
      <c r="E354" s="76" t="s">
        <v>432</v>
      </c>
      <c r="F354" s="76">
        <f t="shared" si="71"/>
        <v>3</v>
      </c>
      <c r="G354" s="76" t="s">
        <v>431</v>
      </c>
      <c r="H354" s="76" t="str">
        <f ca="1">IF(OR(S354="",T354=""),"",IFERROR(_xludf.XLOOKUP(S354,'Registrations'!#REF!,'Registrations'!#REF!,_xludf.XLOOKUP(S354,'Registrations'!$B$4:$B$211,'Registrations'!$E$4:$E$211,S354)),S354) &amp; " vs " &amp; IFERROR(_xludf.XLOOKUP(T354,'Registrations'!#REF!,'Registrations'!#REF!,_xludf.XLOOKUP(T354,'Registrations'!$B$4:$B$211,'Registrations'!$E$4:$E$211,T354)),T354))</f>
        <v>0 vs 0</v>
      </c>
      <c r="I354" s="76"/>
      <c r="J354" s="76"/>
      <c r="K354" s="76">
        <f>IF(Schedules[[#This Row],[Player 2]]="",Schedules[[#This Row],[Player 1]],Schedules[[#This Row],[Player 1]]&amp;" / "&amp;Schedules[[#This Row],[Player 2]])</f>
        <v>0</v>
      </c>
      <c r="L354" s="76">
        <v>15</v>
      </c>
      <c r="M354" s="76" t="str">
        <f t="shared" si="68"/>
        <v>WIN</v>
      </c>
      <c r="N354" s="76"/>
      <c r="O354" s="76"/>
      <c r="P354" s="76">
        <f>IF(Schedules[[#This Row],[Player 4]]="",Schedules[[#This Row],[Player 3]],Schedules[[#This Row],[Player 3]]&amp;" / "&amp;Schedules[[#This Row],[Player 4]])</f>
        <v>0</v>
      </c>
      <c r="Q354" s="76">
        <v>10</v>
      </c>
      <c r="R354" s="76" t="str">
        <f t="shared" si="69"/>
        <v>LOST</v>
      </c>
      <c r="S354" s="61">
        <f>Input!H84</f>
        <v>0</v>
      </c>
      <c r="T354" s="61">
        <f>Input!I84</f>
        <v>0</v>
      </c>
    </row>
    <row r="355" spans="1:20" hidden="1" x14ac:dyDescent="0.3">
      <c r="A355" s="110" t="s">
        <v>52</v>
      </c>
      <c r="B355" s="76" t="s">
        <v>67</v>
      </c>
      <c r="C355" s="77">
        <f>D354+TIME(0,3,0)</f>
        <v>46117.643750000003</v>
      </c>
      <c r="D355" s="77">
        <f>C355+TIME(0,10,0)</f>
        <v>46117.650694444448</v>
      </c>
      <c r="E355" s="76" t="str">
        <f>E354</f>
        <v>Pre-Q</v>
      </c>
      <c r="F355" s="76">
        <f t="shared" si="71"/>
        <v>1</v>
      </c>
      <c r="G355" s="76" t="s">
        <v>431</v>
      </c>
      <c r="H355" s="76" t="str">
        <f ca="1">IF(OR(S355="",T355=""),"",IFERROR(_xludf.XLOOKUP(S355,'Registrations'!#REF!,'Registrations'!#REF!,_xludf.XLOOKUP(S355,'Registrations'!$B$4:$B$211,'Registrations'!$E$4:$E$211,S355)),S355) &amp; " vs " &amp; IFERROR(_xludf.XLOOKUP(T355,'Registrations'!#REF!,'Registrations'!#REF!,_xludf.XLOOKUP(T355,'Registrations'!$B$4:$B$211,'Registrations'!$E$4:$E$211,T355)),T355))</f>
        <v>0 vs 0</v>
      </c>
      <c r="I355" s="76"/>
      <c r="J355" s="76"/>
      <c r="K355" s="76">
        <f>IF(Schedules[[#This Row],[Player 2]]="",Schedules[[#This Row],[Player 1]],Schedules[[#This Row],[Player 1]]&amp;" / "&amp;Schedules[[#This Row],[Player 2]])</f>
        <v>0</v>
      </c>
      <c r="L355" s="76">
        <v>15</v>
      </c>
      <c r="M355" s="76" t="str">
        <f t="shared" si="68"/>
        <v>WIN</v>
      </c>
      <c r="N355" s="76"/>
      <c r="O355" s="76"/>
      <c r="P355" s="76">
        <f>IF(Schedules[[#This Row],[Player 4]]="",Schedules[[#This Row],[Player 3]],Schedules[[#This Row],[Player 3]]&amp;" / "&amp;Schedules[[#This Row],[Player 4]])</f>
        <v>0</v>
      </c>
      <c r="Q355" s="76">
        <v>10</v>
      </c>
      <c r="R355" s="76" t="str">
        <f t="shared" si="69"/>
        <v>LOST</v>
      </c>
      <c r="S355" s="61">
        <f>Input!H85</f>
        <v>0</v>
      </c>
      <c r="T355" s="61">
        <f>Input!I85</f>
        <v>0</v>
      </c>
    </row>
    <row r="356" spans="1:20" hidden="1" x14ac:dyDescent="0.3">
      <c r="A356" s="109" t="s">
        <v>52</v>
      </c>
      <c r="B356" s="78" t="s">
        <v>67</v>
      </c>
      <c r="C356" s="79">
        <f>C355</f>
        <v>46117.643750000003</v>
      </c>
      <c r="D356" s="79">
        <f>D355</f>
        <v>46117.650694444448</v>
      </c>
      <c r="E356" s="78" t="s">
        <v>433</v>
      </c>
      <c r="F356" s="78">
        <f t="shared" si="71"/>
        <v>2</v>
      </c>
      <c r="G356" s="78">
        <v>7</v>
      </c>
      <c r="H356" s="78" t="str">
        <f ca="1">IF(OR(S356="",T356=""),"",IFERROR(_xludf.XLOOKUP(S356,'Registrations'!#REF!,'Registrations'!#REF!,_xludf.XLOOKUP(S356,'Registrations'!$B$4:$B$211,'Registrations'!$E$4:$E$211,S356)),S356) &amp; " vs " &amp; IFERROR(_xludf.XLOOKUP(T356,'Registrations'!#REF!,'Registrations'!#REF!,_xludf.XLOOKUP(T356,'Registrations'!$B$4:$B$211,'Registrations'!$E$4:$E$211,T356)),T356))</f>
        <v>0 vs 0</v>
      </c>
      <c r="I356" s="78"/>
      <c r="J356" s="78"/>
      <c r="K356" s="78">
        <f>IF(Schedules[[#This Row],[Player 2]]="",Schedules[[#This Row],[Player 1]],Schedules[[#This Row],[Player 1]]&amp;" / "&amp;Schedules[[#This Row],[Player 2]])</f>
        <v>0</v>
      </c>
      <c r="L356" s="78">
        <v>15</v>
      </c>
      <c r="M356" s="78" t="str">
        <f t="shared" si="68"/>
        <v>WIN</v>
      </c>
      <c r="N356" s="78"/>
      <c r="O356" s="78"/>
      <c r="P356" s="78">
        <f>IF(Schedules[[#This Row],[Player 4]]="",Schedules[[#This Row],[Player 3]],Schedules[[#This Row],[Player 3]]&amp;" / "&amp;Schedules[[#This Row],[Player 4]])</f>
        <v>0</v>
      </c>
      <c r="Q356" s="78">
        <v>10</v>
      </c>
      <c r="R356" s="78" t="str">
        <f t="shared" si="69"/>
        <v>LOST</v>
      </c>
      <c r="S356" s="61">
        <f>Input!B86</f>
        <v>0</v>
      </c>
      <c r="T356" s="61">
        <f>Input!C86</f>
        <v>0</v>
      </c>
    </row>
    <row r="357" spans="1:20" hidden="1" x14ac:dyDescent="0.3">
      <c r="A357" s="109" t="s">
        <v>52</v>
      </c>
      <c r="B357" s="78" t="s">
        <v>67</v>
      </c>
      <c r="C357" s="79">
        <f>C356</f>
        <v>46117.643750000003</v>
      </c>
      <c r="D357" s="79">
        <f>D356</f>
        <v>46117.650694444448</v>
      </c>
      <c r="E357" s="78" t="str">
        <f t="shared" ref="E357:E367" si="72">E356</f>
        <v>Group</v>
      </c>
      <c r="F357" s="78">
        <f t="shared" si="71"/>
        <v>3</v>
      </c>
      <c r="G357" s="78">
        <v>7</v>
      </c>
      <c r="H357" s="78" t="str">
        <f ca="1">IF(OR(S357="",T357=""),"",IFERROR(_xludf.XLOOKUP(S357,'Registrations'!#REF!,'Registrations'!#REF!,_xludf.XLOOKUP(S357,'Registrations'!$B$4:$B$211,'Registrations'!$E$4:$E$211,S357)),S357) &amp; " vs " &amp; IFERROR(_xludf.XLOOKUP(T357,'Registrations'!#REF!,'Registrations'!#REF!,_xludf.XLOOKUP(T357,'Registrations'!$B$4:$B$211,'Registrations'!$E$4:$E$211,T357)),T357))</f>
        <v>0 vs 0</v>
      </c>
      <c r="I357" s="78"/>
      <c r="J357" s="78"/>
      <c r="K357" s="78">
        <f>IF(Schedules[[#This Row],[Player 2]]="",Schedules[[#This Row],[Player 1]],Schedules[[#This Row],[Player 1]]&amp;" / "&amp;Schedules[[#This Row],[Player 2]])</f>
        <v>0</v>
      </c>
      <c r="L357" s="78">
        <v>15</v>
      </c>
      <c r="M357" s="78" t="str">
        <f t="shared" si="68"/>
        <v>WIN</v>
      </c>
      <c r="N357" s="78"/>
      <c r="O357" s="78"/>
      <c r="P357" s="78">
        <f>IF(Schedules[[#This Row],[Player 4]]="",Schedules[[#This Row],[Player 3]],Schedules[[#This Row],[Player 3]]&amp;" / "&amp;Schedules[[#This Row],[Player 4]])</f>
        <v>0</v>
      </c>
      <c r="Q357" s="78">
        <v>10</v>
      </c>
      <c r="R357" s="78" t="str">
        <f t="shared" si="69"/>
        <v>LOST</v>
      </c>
      <c r="S357" s="61">
        <f>Input!D86</f>
        <v>0</v>
      </c>
      <c r="T357" s="61">
        <f>Input!E86</f>
        <v>0</v>
      </c>
    </row>
    <row r="358" spans="1:20" hidden="1" x14ac:dyDescent="0.3">
      <c r="A358" s="109" t="s">
        <v>52</v>
      </c>
      <c r="B358" s="78" t="s">
        <v>67</v>
      </c>
      <c r="C358" s="79">
        <f>D357+TIME(0,3,0)</f>
        <v>46117.652777777781</v>
      </c>
      <c r="D358" s="79">
        <f>C358+TIME(0,10,0)</f>
        <v>46117.659722222226</v>
      </c>
      <c r="E358" s="78" t="str">
        <f t="shared" si="72"/>
        <v>Group</v>
      </c>
      <c r="F358" s="78">
        <f t="shared" si="71"/>
        <v>1</v>
      </c>
      <c r="G358" s="78">
        <v>8</v>
      </c>
      <c r="H358" s="78" t="str">
        <f ca="1">IF(OR(S358="",T358=""),"",IFERROR(_xludf.XLOOKUP(S358,'Registrations'!#REF!,'Registrations'!#REF!,_xludf.XLOOKUP(S358,'Registrations'!$B$4:$B$211,'Registrations'!$E$4:$E$211,S358)),S358) &amp; " vs " &amp; IFERROR(_xludf.XLOOKUP(T358,'Registrations'!#REF!,'Registrations'!#REF!,_xludf.XLOOKUP(T358,'Registrations'!$B$4:$B$211,'Registrations'!$E$4:$E$211,T358)),T358))</f>
        <v>0 vs 0</v>
      </c>
      <c r="I358" s="78"/>
      <c r="J358" s="78"/>
      <c r="K358" s="78">
        <f>IF(Schedules[[#This Row],[Player 2]]="",Schedules[[#This Row],[Player 1]],Schedules[[#This Row],[Player 1]]&amp;" / "&amp;Schedules[[#This Row],[Player 2]])</f>
        <v>0</v>
      </c>
      <c r="L358" s="78">
        <v>15</v>
      </c>
      <c r="M358" s="78" t="str">
        <f t="shared" si="68"/>
        <v>WIN</v>
      </c>
      <c r="N358" s="78"/>
      <c r="O358" s="78"/>
      <c r="P358" s="78">
        <f>IF(Schedules[[#This Row],[Player 4]]="",Schedules[[#This Row],[Player 3]],Schedules[[#This Row],[Player 3]]&amp;" / "&amp;Schedules[[#This Row],[Player 4]])</f>
        <v>0</v>
      </c>
      <c r="Q358" s="78">
        <v>10</v>
      </c>
      <c r="R358" s="78" t="str">
        <f t="shared" si="69"/>
        <v>LOST</v>
      </c>
      <c r="S358" s="61">
        <f>Input!B87</f>
        <v>0</v>
      </c>
      <c r="T358" s="61">
        <f>Input!C87</f>
        <v>0</v>
      </c>
    </row>
    <row r="359" spans="1:20" hidden="1" x14ac:dyDescent="0.3">
      <c r="A359" s="109" t="s">
        <v>52</v>
      </c>
      <c r="B359" s="78" t="s">
        <v>67</v>
      </c>
      <c r="C359" s="79">
        <f>C358</f>
        <v>46117.652777777781</v>
      </c>
      <c r="D359" s="79">
        <f>D358</f>
        <v>46117.659722222226</v>
      </c>
      <c r="E359" s="78" t="str">
        <f t="shared" si="72"/>
        <v>Group</v>
      </c>
      <c r="F359" s="78">
        <f t="shared" si="71"/>
        <v>2</v>
      </c>
      <c r="G359" s="78">
        <v>7</v>
      </c>
      <c r="H359" s="78" t="str">
        <f ca="1">IF(OR(S359="",T359=""),"",IFERROR(_xludf.XLOOKUP(S359,'Registrations'!#REF!,'Registrations'!#REF!,_xludf.XLOOKUP(S359,'Registrations'!$B$4:$B$211,'Registrations'!$E$4:$E$211,S359)),S359) &amp; " vs " &amp; IFERROR(_xludf.XLOOKUP(T359,'Registrations'!#REF!,'Registrations'!#REF!,_xludf.XLOOKUP(T359,'Registrations'!$B$4:$B$211,'Registrations'!$E$4:$E$211,T359)),T359))</f>
        <v>0 vs 0</v>
      </c>
      <c r="I359" s="78"/>
      <c r="J359" s="78"/>
      <c r="K359" s="78">
        <f>IF(Schedules[[#This Row],[Player 2]]="",Schedules[[#This Row],[Player 1]],Schedules[[#This Row],[Player 1]]&amp;" / "&amp;Schedules[[#This Row],[Player 2]])</f>
        <v>0</v>
      </c>
      <c r="L359" s="78">
        <v>15</v>
      </c>
      <c r="M359" s="78" t="str">
        <f t="shared" si="68"/>
        <v>WIN</v>
      </c>
      <c r="N359" s="78"/>
      <c r="O359" s="78"/>
      <c r="P359" s="78">
        <f>IF(Schedules[[#This Row],[Player 4]]="",Schedules[[#This Row],[Player 3]],Schedules[[#This Row],[Player 3]]&amp;" / "&amp;Schedules[[#This Row],[Player 4]])</f>
        <v>0</v>
      </c>
      <c r="Q359" s="78">
        <v>10</v>
      </c>
      <c r="R359" s="78" t="str">
        <f t="shared" si="69"/>
        <v>LOST</v>
      </c>
      <c r="S359" s="61">
        <f>Input!B86</f>
        <v>0</v>
      </c>
      <c r="T359" s="61">
        <f>Input!D86</f>
        <v>0</v>
      </c>
    </row>
    <row r="360" spans="1:20" hidden="1" x14ac:dyDescent="0.3">
      <c r="A360" s="109" t="s">
        <v>52</v>
      </c>
      <c r="B360" s="78" t="s">
        <v>67</v>
      </c>
      <c r="C360" s="79">
        <f>C359</f>
        <v>46117.652777777781</v>
      </c>
      <c r="D360" s="79">
        <f>D359</f>
        <v>46117.659722222226</v>
      </c>
      <c r="E360" s="78" t="str">
        <f t="shared" si="72"/>
        <v>Group</v>
      </c>
      <c r="F360" s="78">
        <f t="shared" si="71"/>
        <v>3</v>
      </c>
      <c r="G360" s="78">
        <v>7</v>
      </c>
      <c r="H360" s="78" t="str">
        <f ca="1">IF(OR(S360="",T360=""),"",IFERROR(_xludf.XLOOKUP(S360,'Registrations'!#REF!,'Registrations'!#REF!,_xludf.XLOOKUP(S360,'Registrations'!$B$4:$B$211,'Registrations'!$E$4:$E$211,S360)),S360) &amp; " vs " &amp; IFERROR(_xludf.XLOOKUP(T360,'Registrations'!#REF!,'Registrations'!#REF!,_xludf.XLOOKUP(T360,'Registrations'!$B$4:$B$211,'Registrations'!$E$4:$E$211,T360)),T360))</f>
        <v>0 vs 0</v>
      </c>
      <c r="I360" s="78"/>
      <c r="J360" s="78"/>
      <c r="K360" s="78">
        <f>IF(Schedules[[#This Row],[Player 2]]="",Schedules[[#This Row],[Player 1]],Schedules[[#This Row],[Player 1]]&amp;" / "&amp;Schedules[[#This Row],[Player 2]])</f>
        <v>0</v>
      </c>
      <c r="L360" s="78">
        <v>15</v>
      </c>
      <c r="M360" s="78" t="str">
        <f t="shared" si="68"/>
        <v>WIN</v>
      </c>
      <c r="N360" s="78"/>
      <c r="O360" s="78"/>
      <c r="P360" s="78">
        <f>IF(Schedules[[#This Row],[Player 4]]="",Schedules[[#This Row],[Player 3]],Schedules[[#This Row],[Player 3]]&amp;" / "&amp;Schedules[[#This Row],[Player 4]])</f>
        <v>0</v>
      </c>
      <c r="Q360" s="78">
        <v>10</v>
      </c>
      <c r="R360" s="78" t="str">
        <f t="shared" si="69"/>
        <v>LOST</v>
      </c>
      <c r="S360" s="61">
        <f>Input!C86</f>
        <v>0</v>
      </c>
      <c r="T360" s="61">
        <f>Input!E86</f>
        <v>0</v>
      </c>
    </row>
    <row r="361" spans="1:20" hidden="1" x14ac:dyDescent="0.3">
      <c r="A361" s="109" t="s">
        <v>52</v>
      </c>
      <c r="B361" s="78" t="s">
        <v>67</v>
      </c>
      <c r="C361" s="79">
        <f>D360+TIME(0,3,0)</f>
        <v>46117.661805555559</v>
      </c>
      <c r="D361" s="79">
        <f>C361+TIME(0,10,0)</f>
        <v>46117.668750000004</v>
      </c>
      <c r="E361" s="78" t="str">
        <f t="shared" si="72"/>
        <v>Group</v>
      </c>
      <c r="F361" s="78">
        <f t="shared" si="71"/>
        <v>1</v>
      </c>
      <c r="G361" s="78">
        <v>8</v>
      </c>
      <c r="H361" s="78" t="str">
        <f ca="1">IF(OR(S361="",T361=""),"",IFERROR(_xludf.XLOOKUP(S361,'Registrations'!#REF!,'Registrations'!#REF!,_xludf.XLOOKUP(S361,'Registrations'!$B$4:$B$211,'Registrations'!$E$4:$E$211,S361)),S361) &amp; " vs " &amp; IFERROR(_xludf.XLOOKUP(T361,'Registrations'!#REF!,'Registrations'!#REF!,_xludf.XLOOKUP(T361,'Registrations'!$B$4:$B$211,'Registrations'!$E$4:$E$211,T361)),T361))</f>
        <v>0 vs 0</v>
      </c>
      <c r="I361" s="78"/>
      <c r="J361" s="78"/>
      <c r="K361" s="78">
        <f>IF(Schedules[[#This Row],[Player 2]]="",Schedules[[#This Row],[Player 1]],Schedules[[#This Row],[Player 1]]&amp;" / "&amp;Schedules[[#This Row],[Player 2]])</f>
        <v>0</v>
      </c>
      <c r="L361" s="78">
        <v>15</v>
      </c>
      <c r="M361" s="78" t="str">
        <f t="shared" si="68"/>
        <v>WIN</v>
      </c>
      <c r="N361" s="78"/>
      <c r="O361" s="78"/>
      <c r="P361" s="78">
        <f>IF(Schedules[[#This Row],[Player 4]]="",Schedules[[#This Row],[Player 3]],Schedules[[#This Row],[Player 3]]&amp;" / "&amp;Schedules[[#This Row],[Player 4]])</f>
        <v>0</v>
      </c>
      <c r="Q361" s="78">
        <v>10</v>
      </c>
      <c r="R361" s="78" t="str">
        <f t="shared" si="69"/>
        <v>LOST</v>
      </c>
      <c r="S361" s="61">
        <f>Input!D87</f>
        <v>0</v>
      </c>
      <c r="T361" s="61">
        <f>Input!E87</f>
        <v>0</v>
      </c>
    </row>
    <row r="362" spans="1:20" hidden="1" x14ac:dyDescent="0.3">
      <c r="A362" s="109" t="s">
        <v>52</v>
      </c>
      <c r="B362" s="78" t="s">
        <v>67</v>
      </c>
      <c r="C362" s="79">
        <f>C361</f>
        <v>46117.661805555559</v>
      </c>
      <c r="D362" s="79">
        <f>D361</f>
        <v>46117.668750000004</v>
      </c>
      <c r="E362" s="78" t="str">
        <f t="shared" si="72"/>
        <v>Group</v>
      </c>
      <c r="F362" s="78">
        <f t="shared" si="71"/>
        <v>2</v>
      </c>
      <c r="G362" s="78">
        <v>8</v>
      </c>
      <c r="H362" s="78" t="str">
        <f ca="1">IF(OR(S362="",T362=""),"",IFERROR(_xludf.XLOOKUP(S362,'Registrations'!#REF!,'Registrations'!#REF!,_xludf.XLOOKUP(S362,'Registrations'!$B$4:$B$211,'Registrations'!$E$4:$E$211,S362)),S362) &amp; " vs " &amp; IFERROR(_xludf.XLOOKUP(T362,'Registrations'!#REF!,'Registrations'!#REF!,_xludf.XLOOKUP(T362,'Registrations'!$B$4:$B$211,'Registrations'!$E$4:$E$211,T362)),T362))</f>
        <v>0 vs 0</v>
      </c>
      <c r="I362" s="78"/>
      <c r="J362" s="78"/>
      <c r="K362" s="78">
        <f>IF(Schedules[[#This Row],[Player 2]]="",Schedules[[#This Row],[Player 1]],Schedules[[#This Row],[Player 1]]&amp;" / "&amp;Schedules[[#This Row],[Player 2]])</f>
        <v>0</v>
      </c>
      <c r="L362" s="78">
        <v>15</v>
      </c>
      <c r="M362" s="78" t="str">
        <f t="shared" si="68"/>
        <v>WIN</v>
      </c>
      <c r="N362" s="78"/>
      <c r="O362" s="78"/>
      <c r="P362" s="78">
        <f>IF(Schedules[[#This Row],[Player 4]]="",Schedules[[#This Row],[Player 3]],Schedules[[#This Row],[Player 3]]&amp;" / "&amp;Schedules[[#This Row],[Player 4]])</f>
        <v>0</v>
      </c>
      <c r="Q362" s="78">
        <v>10</v>
      </c>
      <c r="R362" s="78" t="str">
        <f t="shared" si="69"/>
        <v>LOST</v>
      </c>
      <c r="S362" s="61">
        <f>Input!B87</f>
        <v>0</v>
      </c>
      <c r="T362" s="61">
        <f>Input!D87</f>
        <v>0</v>
      </c>
    </row>
    <row r="363" spans="1:20" hidden="1" x14ac:dyDescent="0.3">
      <c r="A363" s="109" t="s">
        <v>52</v>
      </c>
      <c r="B363" s="78" t="s">
        <v>67</v>
      </c>
      <c r="C363" s="79">
        <f>C362</f>
        <v>46117.661805555559</v>
      </c>
      <c r="D363" s="79">
        <f>D362</f>
        <v>46117.668750000004</v>
      </c>
      <c r="E363" s="78" t="str">
        <f t="shared" si="72"/>
        <v>Group</v>
      </c>
      <c r="F363" s="78">
        <f t="shared" si="71"/>
        <v>3</v>
      </c>
      <c r="G363" s="78">
        <v>8</v>
      </c>
      <c r="H363" s="78" t="str">
        <f ca="1">IF(OR(S363="",T363=""),"",IFERROR(_xludf.XLOOKUP(S363,'Registrations'!#REF!,'Registrations'!#REF!,_xludf.XLOOKUP(S363,'Registrations'!$B$4:$B$211,'Registrations'!$E$4:$E$211,S363)),S363) &amp; " vs " &amp; IFERROR(_xludf.XLOOKUP(T363,'Registrations'!#REF!,'Registrations'!#REF!,_xludf.XLOOKUP(T363,'Registrations'!$B$4:$B$211,'Registrations'!$E$4:$E$211,T363)),T363))</f>
        <v>0 vs 0</v>
      </c>
      <c r="I363" s="78"/>
      <c r="J363" s="78"/>
      <c r="K363" s="78">
        <f>IF(Schedules[[#This Row],[Player 2]]="",Schedules[[#This Row],[Player 1]],Schedules[[#This Row],[Player 1]]&amp;" / "&amp;Schedules[[#This Row],[Player 2]])</f>
        <v>0</v>
      </c>
      <c r="L363" s="78">
        <v>15</v>
      </c>
      <c r="M363" s="78" t="str">
        <f t="shared" si="68"/>
        <v>WIN</v>
      </c>
      <c r="N363" s="78"/>
      <c r="O363" s="78"/>
      <c r="P363" s="78">
        <f>IF(Schedules[[#This Row],[Player 4]]="",Schedules[[#This Row],[Player 3]],Schedules[[#This Row],[Player 3]]&amp;" / "&amp;Schedules[[#This Row],[Player 4]])</f>
        <v>0</v>
      </c>
      <c r="Q363" s="78">
        <v>10</v>
      </c>
      <c r="R363" s="78" t="str">
        <f t="shared" si="69"/>
        <v>LOST</v>
      </c>
      <c r="S363" s="61">
        <f>Input!C87</f>
        <v>0</v>
      </c>
      <c r="T363" s="61">
        <f>Input!E87</f>
        <v>0</v>
      </c>
    </row>
    <row r="364" spans="1:20" hidden="1" x14ac:dyDescent="0.3">
      <c r="A364" s="109" t="s">
        <v>52</v>
      </c>
      <c r="B364" s="78" t="s">
        <v>67</v>
      </c>
      <c r="C364" s="79">
        <f>D363+TIME(0,3,0)</f>
        <v>46117.670833333337</v>
      </c>
      <c r="D364" s="79">
        <f>C364+TIME(0,10,0)</f>
        <v>46117.677777777782</v>
      </c>
      <c r="E364" s="78" t="str">
        <f t="shared" si="72"/>
        <v>Group</v>
      </c>
      <c r="F364" s="78">
        <f t="shared" si="71"/>
        <v>1</v>
      </c>
      <c r="G364" s="78">
        <v>7</v>
      </c>
      <c r="H364" s="78" t="str">
        <f ca="1">IF(OR(S364="",T364=""),"",IFERROR(_xludf.XLOOKUP(S364,'Registrations'!#REF!,'Registrations'!#REF!,_xludf.XLOOKUP(S364,'Registrations'!$B$4:$B$211,'Registrations'!$E$4:$E$211,S364)),S364) &amp; " vs " &amp; IFERROR(_xludf.XLOOKUP(T364,'Registrations'!#REF!,'Registrations'!#REF!,_xludf.XLOOKUP(T364,'Registrations'!$B$4:$B$211,'Registrations'!$E$4:$E$211,T364)),T364))</f>
        <v>0 vs 0</v>
      </c>
      <c r="I364" s="78"/>
      <c r="J364" s="78"/>
      <c r="K364" s="78">
        <f>IF(Schedules[[#This Row],[Player 2]]="",Schedules[[#This Row],[Player 1]],Schedules[[#This Row],[Player 1]]&amp;" / "&amp;Schedules[[#This Row],[Player 2]])</f>
        <v>0</v>
      </c>
      <c r="L364" s="78">
        <v>15</v>
      </c>
      <c r="M364" s="78" t="str">
        <f t="shared" si="68"/>
        <v>WIN</v>
      </c>
      <c r="N364" s="78"/>
      <c r="O364" s="78"/>
      <c r="P364" s="78">
        <f>IF(Schedules[[#This Row],[Player 4]]="",Schedules[[#This Row],[Player 3]],Schedules[[#This Row],[Player 3]]&amp;" / "&amp;Schedules[[#This Row],[Player 4]])</f>
        <v>0</v>
      </c>
      <c r="Q364" s="78">
        <v>10</v>
      </c>
      <c r="R364" s="78" t="str">
        <f t="shared" si="69"/>
        <v>LOST</v>
      </c>
      <c r="S364" s="61">
        <f>Input!B86</f>
        <v>0</v>
      </c>
      <c r="T364" s="61">
        <f>Input!E86</f>
        <v>0</v>
      </c>
    </row>
    <row r="365" spans="1:20" hidden="1" x14ac:dyDescent="0.3">
      <c r="A365" s="109" t="s">
        <v>52</v>
      </c>
      <c r="B365" s="78" t="s">
        <v>67</v>
      </c>
      <c r="C365" s="79">
        <f>C364</f>
        <v>46117.670833333337</v>
      </c>
      <c r="D365" s="79">
        <f>D364</f>
        <v>46117.677777777782</v>
      </c>
      <c r="E365" s="78" t="str">
        <f t="shared" si="72"/>
        <v>Group</v>
      </c>
      <c r="F365" s="78">
        <f t="shared" si="71"/>
        <v>2</v>
      </c>
      <c r="G365" s="78">
        <v>8</v>
      </c>
      <c r="H365" s="78" t="str">
        <f ca="1">IF(OR(S365="",T365=""),"",IFERROR(_xludf.XLOOKUP(S365,'Registrations'!#REF!,'Registrations'!#REF!,_xludf.XLOOKUP(S365,'Registrations'!$B$4:$B$211,'Registrations'!$E$4:$E$211,S365)),S365) &amp; " vs " &amp; IFERROR(_xludf.XLOOKUP(T365,'Registrations'!#REF!,'Registrations'!#REF!,_xludf.XLOOKUP(T365,'Registrations'!$B$4:$B$211,'Registrations'!$E$4:$E$211,T365)),T365))</f>
        <v>0 vs 0</v>
      </c>
      <c r="I365" s="78"/>
      <c r="J365" s="78"/>
      <c r="K365" s="78">
        <f>IF(Schedules[[#This Row],[Player 2]]="",Schedules[[#This Row],[Player 1]],Schedules[[#This Row],[Player 1]]&amp;" / "&amp;Schedules[[#This Row],[Player 2]])</f>
        <v>0</v>
      </c>
      <c r="L365" s="78">
        <v>15</v>
      </c>
      <c r="M365" s="78" t="str">
        <f t="shared" si="68"/>
        <v>WIN</v>
      </c>
      <c r="N365" s="78"/>
      <c r="O365" s="78"/>
      <c r="P365" s="78">
        <f>IF(Schedules[[#This Row],[Player 4]]="",Schedules[[#This Row],[Player 3]],Schedules[[#This Row],[Player 3]]&amp;" / "&amp;Schedules[[#This Row],[Player 4]])</f>
        <v>0</v>
      </c>
      <c r="Q365" s="78">
        <v>10</v>
      </c>
      <c r="R365" s="78" t="str">
        <f t="shared" si="69"/>
        <v>LOST</v>
      </c>
      <c r="S365" s="61">
        <f>Input!B87</f>
        <v>0</v>
      </c>
      <c r="T365" s="61">
        <f>Input!E87</f>
        <v>0</v>
      </c>
    </row>
    <row r="366" spans="1:20" hidden="1" x14ac:dyDescent="0.3">
      <c r="A366" s="109" t="s">
        <v>52</v>
      </c>
      <c r="B366" s="78" t="s">
        <v>67</v>
      </c>
      <c r="C366" s="79">
        <f>C365</f>
        <v>46117.670833333337</v>
      </c>
      <c r="D366" s="79">
        <f>D365</f>
        <v>46117.677777777782</v>
      </c>
      <c r="E366" s="78" t="str">
        <f t="shared" si="72"/>
        <v>Group</v>
      </c>
      <c r="F366" s="78">
        <f t="shared" si="71"/>
        <v>3</v>
      </c>
      <c r="G366" s="78">
        <v>8</v>
      </c>
      <c r="H366" s="78" t="str">
        <f ca="1">IF(OR(S366="",T366=""),"",IFERROR(_xludf.XLOOKUP(S366,'Registrations'!#REF!,'Registrations'!#REF!,_xludf.XLOOKUP(S366,'Registrations'!$B$4:$B$211,'Registrations'!$E$4:$E$211,S366)),S366) &amp; " vs " &amp; IFERROR(_xludf.XLOOKUP(T366,'Registrations'!#REF!,'Registrations'!#REF!,_xludf.XLOOKUP(T366,'Registrations'!$B$4:$B$211,'Registrations'!$E$4:$E$211,T366)),T366))</f>
        <v>0 vs 0</v>
      </c>
      <c r="I366" s="78"/>
      <c r="J366" s="78"/>
      <c r="K366" s="78">
        <f>IF(Schedules[[#This Row],[Player 2]]="",Schedules[[#This Row],[Player 1]],Schedules[[#This Row],[Player 1]]&amp;" / "&amp;Schedules[[#This Row],[Player 2]])</f>
        <v>0</v>
      </c>
      <c r="L366" s="78">
        <v>15</v>
      </c>
      <c r="M366" s="78" t="str">
        <f t="shared" si="68"/>
        <v>WIN</v>
      </c>
      <c r="N366" s="78"/>
      <c r="O366" s="78"/>
      <c r="P366" s="78">
        <f>IF(Schedules[[#This Row],[Player 4]]="",Schedules[[#This Row],[Player 3]],Schedules[[#This Row],[Player 3]]&amp;" / "&amp;Schedules[[#This Row],[Player 4]])</f>
        <v>0</v>
      </c>
      <c r="Q366" s="78">
        <v>10</v>
      </c>
      <c r="R366" s="78" t="str">
        <f t="shared" si="69"/>
        <v>LOST</v>
      </c>
      <c r="S366" s="61">
        <f>Input!C87</f>
        <v>0</v>
      </c>
      <c r="T366" s="61">
        <f>Input!D87</f>
        <v>0</v>
      </c>
    </row>
    <row r="367" spans="1:20" hidden="1" x14ac:dyDescent="0.3">
      <c r="A367" s="109" t="s">
        <v>52</v>
      </c>
      <c r="B367" s="78" t="s">
        <v>67</v>
      </c>
      <c r="C367" s="79">
        <f>D366+TIME(0,3,0)</f>
        <v>46117.679861111115</v>
      </c>
      <c r="D367" s="79">
        <f>C367+TIME(0,10,0)</f>
        <v>46117.686805555561</v>
      </c>
      <c r="E367" s="78" t="str">
        <f t="shared" si="72"/>
        <v>Group</v>
      </c>
      <c r="F367" s="78">
        <f t="shared" si="71"/>
        <v>1</v>
      </c>
      <c r="G367" s="78">
        <v>7</v>
      </c>
      <c r="H367" s="78" t="str">
        <f ca="1">IF(OR(S367="",T367=""),"",IFERROR(_xludf.XLOOKUP(S367,'Registrations'!#REF!,'Registrations'!#REF!,_xludf.XLOOKUP(S367,'Registrations'!$B$4:$B$211,'Registrations'!$E$4:$E$211,S367)),S367) &amp; " vs " &amp; IFERROR(_xludf.XLOOKUP(T367,'Registrations'!#REF!,'Registrations'!#REF!,_xludf.XLOOKUP(T367,'Registrations'!$B$4:$B$211,'Registrations'!$E$4:$E$211,T367)),T367))</f>
        <v>0 vs 0</v>
      </c>
      <c r="I367" s="78"/>
      <c r="J367" s="78"/>
      <c r="K367" s="78">
        <f>IF(Schedules[[#This Row],[Player 2]]="",Schedules[[#This Row],[Player 1]],Schedules[[#This Row],[Player 1]]&amp;" / "&amp;Schedules[[#This Row],[Player 2]])</f>
        <v>0</v>
      </c>
      <c r="L367" s="78">
        <v>15</v>
      </c>
      <c r="M367" s="78" t="str">
        <f t="shared" si="68"/>
        <v>WIN</v>
      </c>
      <c r="N367" s="78"/>
      <c r="O367" s="78"/>
      <c r="P367" s="78">
        <f>IF(Schedules[[#This Row],[Player 4]]="",Schedules[[#This Row],[Player 3]],Schedules[[#This Row],[Player 3]]&amp;" / "&amp;Schedules[[#This Row],[Player 4]])</f>
        <v>0</v>
      </c>
      <c r="Q367" s="78">
        <v>10</v>
      </c>
      <c r="R367" s="78" t="str">
        <f t="shared" si="69"/>
        <v>LOST</v>
      </c>
      <c r="S367" s="61">
        <f>Input!C86</f>
        <v>0</v>
      </c>
      <c r="T367" s="61">
        <f>Input!D86</f>
        <v>0</v>
      </c>
    </row>
    <row r="368" spans="1:20" hidden="1" x14ac:dyDescent="0.3">
      <c r="A368" s="110" t="s">
        <v>52</v>
      </c>
      <c r="B368" s="76" t="s">
        <v>67</v>
      </c>
      <c r="C368" s="77">
        <f>C367</f>
        <v>46117.679861111115</v>
      </c>
      <c r="D368" s="77">
        <f>D367</f>
        <v>46117.686805555561</v>
      </c>
      <c r="E368" s="76" t="s">
        <v>432</v>
      </c>
      <c r="F368" s="76">
        <f t="shared" si="71"/>
        <v>2</v>
      </c>
      <c r="G368" s="76" t="s">
        <v>439</v>
      </c>
      <c r="H368" s="76" t="str">
        <f ca="1">IF(OR(S368="",T368=""),"",IFERROR(_xludf.XLOOKUP(S368,'Registrations'!#REF!,'Registrations'!#REF!,_xludf.XLOOKUP(S368,'Registrations'!$B$4:$B$211,'Registrations'!$E$4:$E$211,S368)),S368) &amp; " vs " &amp; IFERROR(_xludf.XLOOKUP(T368,'Registrations'!#REF!,'Registrations'!#REF!,_xludf.XLOOKUP(T368,'Registrations'!$B$4:$B$211,'Registrations'!$E$4:$E$211,T368)),T368))</f>
        <v>0 vs 0</v>
      </c>
      <c r="I368" s="76"/>
      <c r="J368" s="76"/>
      <c r="K368" s="76">
        <f>IF(Schedules[[#This Row],[Player 2]]="",Schedules[[#This Row],[Player 1]],Schedules[[#This Row],[Player 1]]&amp;" / "&amp;Schedules[[#This Row],[Player 2]])</f>
        <v>0</v>
      </c>
      <c r="L368" s="76">
        <v>15</v>
      </c>
      <c r="M368" s="76" t="str">
        <f t="shared" si="68"/>
        <v>WIN</v>
      </c>
      <c r="N368" s="76"/>
      <c r="O368" s="76"/>
      <c r="P368" s="76">
        <f>IF(Schedules[[#This Row],[Player 4]]="",Schedules[[#This Row],[Player 3]],Schedules[[#This Row],[Player 3]]&amp;" / "&amp;Schedules[[#This Row],[Player 4]])</f>
        <v>0</v>
      </c>
      <c r="Q368" s="76">
        <v>10</v>
      </c>
      <c r="R368" s="76" t="str">
        <f t="shared" si="69"/>
        <v>LOST</v>
      </c>
      <c r="S368" s="61">
        <f>Input!H86</f>
        <v>0</v>
      </c>
      <c r="T368" s="61">
        <f>Input!I86</f>
        <v>0</v>
      </c>
    </row>
    <row r="369" spans="1:20" hidden="1" x14ac:dyDescent="0.3">
      <c r="A369" s="110" t="s">
        <v>52</v>
      </c>
      <c r="B369" s="76" t="s">
        <v>67</v>
      </c>
      <c r="C369" s="77">
        <f>C368</f>
        <v>46117.679861111115</v>
      </c>
      <c r="D369" s="77">
        <f>D368</f>
        <v>46117.686805555561</v>
      </c>
      <c r="E369" s="76" t="str">
        <f>E368</f>
        <v>Pre-Q</v>
      </c>
      <c r="F369" s="76">
        <f t="shared" si="71"/>
        <v>3</v>
      </c>
      <c r="G369" s="76" t="str">
        <f>G368</f>
        <v>7 vs 8</v>
      </c>
      <c r="H369" s="76" t="str">
        <f ca="1">IF(OR(S369="",T369=""),"",IFERROR(_xludf.XLOOKUP(S369,'Registrations'!#REF!,'Registrations'!#REF!,_xludf.XLOOKUP(S369,'Registrations'!$B$4:$B$211,'Registrations'!$E$4:$E$211,S369)),S369) &amp; " vs " &amp; IFERROR(_xludf.XLOOKUP(T369,'Registrations'!#REF!,'Registrations'!#REF!,_xludf.XLOOKUP(T369,'Registrations'!$B$4:$B$211,'Registrations'!$E$4:$E$211,T369)),T369))</f>
        <v>0 vs 0</v>
      </c>
      <c r="I369" s="76"/>
      <c r="J369" s="76"/>
      <c r="K369" s="76">
        <f>IF(Schedules[[#This Row],[Player 2]]="",Schedules[[#This Row],[Player 1]],Schedules[[#This Row],[Player 1]]&amp;" / "&amp;Schedules[[#This Row],[Player 2]])</f>
        <v>0</v>
      </c>
      <c r="L369" s="76">
        <v>15</v>
      </c>
      <c r="M369" s="76" t="str">
        <f t="shared" si="68"/>
        <v>WIN</v>
      </c>
      <c r="N369" s="76"/>
      <c r="O369" s="76"/>
      <c r="P369" s="76">
        <f>IF(Schedules[[#This Row],[Player 4]]="",Schedules[[#This Row],[Player 3]],Schedules[[#This Row],[Player 3]]&amp;" / "&amp;Schedules[[#This Row],[Player 4]])</f>
        <v>0</v>
      </c>
      <c r="Q369" s="76">
        <v>10</v>
      </c>
      <c r="R369" s="76" t="str">
        <f t="shared" si="69"/>
        <v>LOST</v>
      </c>
      <c r="S369" s="61">
        <f>Input!H87</f>
        <v>0</v>
      </c>
      <c r="T369" s="61">
        <f>Input!I87</f>
        <v>0</v>
      </c>
    </row>
    <row r="370" spans="1:20" hidden="1" x14ac:dyDescent="0.3">
      <c r="A370" s="111" t="s">
        <v>52</v>
      </c>
      <c r="B370" s="74" t="s">
        <v>67</v>
      </c>
      <c r="C370" s="75">
        <f>D369+TIME(0,3,0)</f>
        <v>46117.688888888893</v>
      </c>
      <c r="D370" s="75">
        <f>C370+TIME(0,10,0)</f>
        <v>46117.695833333339</v>
      </c>
      <c r="E370" s="74" t="s">
        <v>40</v>
      </c>
      <c r="F370" s="74">
        <f t="shared" si="71"/>
        <v>1</v>
      </c>
      <c r="G370" s="74" t="s">
        <v>438</v>
      </c>
      <c r="H370" s="74" t="str">
        <f ca="1">IF(OR(S370="",T370=""),"",IFERROR(_xludf.XLOOKUP(S370,'Registrations'!#REF!,'Registrations'!#REF!,_xludf.XLOOKUP(S370,'Registrations'!$B$4:$B$211,'Registrations'!$E$4:$E$211,S370)),S370) &amp; " vs " &amp; IFERROR(_xludf.XLOOKUP(T370,'Registrations'!#REF!,'Registrations'!#REF!,_xludf.XLOOKUP(T370,'Registrations'!$B$4:$B$211,'Registrations'!$E$4:$E$211,T370)),T370))</f>
        <v>0 vs 0</v>
      </c>
      <c r="I370" s="74"/>
      <c r="J370" s="74"/>
      <c r="K370" s="74">
        <f>IF(Schedules[[#This Row],[Player 2]]="",Schedules[[#This Row],[Player 1]],Schedules[[#This Row],[Player 1]]&amp;" / "&amp;Schedules[[#This Row],[Player 2]])</f>
        <v>0</v>
      </c>
      <c r="L370" s="74">
        <v>15</v>
      </c>
      <c r="M370" s="74" t="str">
        <f t="shared" si="68"/>
        <v>WIN</v>
      </c>
      <c r="N370" s="74"/>
      <c r="O370" s="74"/>
      <c r="P370" s="74">
        <f>IF(Schedules[[#This Row],[Player 4]]="",Schedules[[#This Row],[Player 3]],Schedules[[#This Row],[Player 3]]&amp;" / "&amp;Schedules[[#This Row],[Player 4]])</f>
        <v>0</v>
      </c>
      <c r="Q370" s="74">
        <v>10</v>
      </c>
      <c r="R370" s="74" t="str">
        <f t="shared" si="69"/>
        <v>LOST</v>
      </c>
      <c r="S370" s="61">
        <f>Input!L82</f>
        <v>0</v>
      </c>
      <c r="T370" s="61">
        <f>Input!M82</f>
        <v>0</v>
      </c>
    </row>
    <row r="371" spans="1:20" hidden="1" x14ac:dyDescent="0.3">
      <c r="A371" s="111" t="s">
        <v>52</v>
      </c>
      <c r="B371" s="74" t="s">
        <v>67</v>
      </c>
      <c r="C371" s="75">
        <f t="shared" ref="C371:E372" si="73">C370</f>
        <v>46117.688888888893</v>
      </c>
      <c r="D371" s="75">
        <f t="shared" si="73"/>
        <v>46117.695833333339</v>
      </c>
      <c r="E371" s="74" t="str">
        <f t="shared" si="73"/>
        <v>Quarters</v>
      </c>
      <c r="F371" s="74">
        <f t="shared" si="71"/>
        <v>2</v>
      </c>
      <c r="G371" s="74" t="s">
        <v>437</v>
      </c>
      <c r="H371" s="74" t="str">
        <f ca="1">IF(OR(S371="",T371=""),"",IFERROR(_xludf.XLOOKUP(S371,'Registrations'!#REF!,'Registrations'!#REF!,_xludf.XLOOKUP(S371,'Registrations'!$B$4:$B$211,'Registrations'!$E$4:$E$211,S371)),S371) &amp; " vs " &amp; IFERROR(_xludf.XLOOKUP(T371,'Registrations'!#REF!,'Registrations'!#REF!,_xludf.XLOOKUP(T371,'Registrations'!$B$4:$B$211,'Registrations'!$E$4:$E$211,T371)),T371))</f>
        <v>Sanjay Gatti / Prabhakar Ghadge vs 0</v>
      </c>
      <c r="I371" s="74"/>
      <c r="J371" s="74"/>
      <c r="K371" s="74">
        <f>IF(Schedules[[#This Row],[Player 2]]="",Schedules[[#This Row],[Player 1]],Schedules[[#This Row],[Player 1]]&amp;" / "&amp;Schedules[[#This Row],[Player 2]])</f>
        <v>0</v>
      </c>
      <c r="L371" s="74">
        <v>15</v>
      </c>
      <c r="M371" s="74" t="str">
        <f t="shared" si="68"/>
        <v>WIN</v>
      </c>
      <c r="N371" s="74"/>
      <c r="O371" s="74"/>
      <c r="P371" s="74">
        <f>IF(Schedules[[#This Row],[Player 4]]="",Schedules[[#This Row],[Player 3]],Schedules[[#This Row],[Player 3]]&amp;" / "&amp;Schedules[[#This Row],[Player 4]])</f>
        <v>0</v>
      </c>
      <c r="Q371" s="74">
        <v>10</v>
      </c>
      <c r="R371" s="74" t="str">
        <f t="shared" si="69"/>
        <v>LOST</v>
      </c>
      <c r="S371" s="61" t="str">
        <f>Input!L80</f>
        <v>Sanjay Gatti / Prabhakar Ghadge</v>
      </c>
      <c r="T371" s="61">
        <f>Input!M80</f>
        <v>0</v>
      </c>
    </row>
    <row r="372" spans="1:20" hidden="1" x14ac:dyDescent="0.3">
      <c r="A372" s="111" t="s">
        <v>52</v>
      </c>
      <c r="B372" s="74" t="s">
        <v>67</v>
      </c>
      <c r="C372" s="75">
        <f t="shared" si="73"/>
        <v>46117.688888888893</v>
      </c>
      <c r="D372" s="75">
        <f t="shared" si="73"/>
        <v>46117.695833333339</v>
      </c>
      <c r="E372" s="74" t="str">
        <f t="shared" si="73"/>
        <v>Quarters</v>
      </c>
      <c r="F372" s="74">
        <f t="shared" si="71"/>
        <v>3</v>
      </c>
      <c r="G372" s="74" t="s">
        <v>436</v>
      </c>
      <c r="H372" s="74" t="str">
        <f ca="1">IF(OR(S372="",T372=""),"",IFERROR(_xludf.XLOOKUP(S372,'Registrations'!#REF!,'Registrations'!#REF!,_xludf.XLOOKUP(S372,'Registrations'!$B$4:$B$211,'Registrations'!$E$4:$E$211,S372)),S372) &amp; " vs " &amp; IFERROR(_xludf.XLOOKUP(T372,'Registrations'!#REF!,'Registrations'!#REF!,_xludf.XLOOKUP(T372,'Registrations'!$B$4:$B$211,'Registrations'!$E$4:$E$211,T372)),T372))</f>
        <v>0 vs 0</v>
      </c>
      <c r="I372" s="74"/>
      <c r="J372" s="74"/>
      <c r="K372" s="74">
        <f>IF(Schedules[[#This Row],[Player 2]]="",Schedules[[#This Row],[Player 1]],Schedules[[#This Row],[Player 1]]&amp;" / "&amp;Schedules[[#This Row],[Player 2]])</f>
        <v>0</v>
      </c>
      <c r="L372" s="74">
        <v>15</v>
      </c>
      <c r="M372" s="74" t="str">
        <f t="shared" si="68"/>
        <v>WIN</v>
      </c>
      <c r="N372" s="74"/>
      <c r="O372" s="74"/>
      <c r="P372" s="74">
        <f>IF(Schedules[[#This Row],[Player 4]]="",Schedules[[#This Row],[Player 3]],Schedules[[#This Row],[Player 3]]&amp;" / "&amp;Schedules[[#This Row],[Player 4]])</f>
        <v>0</v>
      </c>
      <c r="Q372" s="74">
        <v>10</v>
      </c>
      <c r="R372" s="74" t="str">
        <f t="shared" si="69"/>
        <v>LOST</v>
      </c>
      <c r="S372" s="61">
        <f>Input!L81</f>
        <v>0</v>
      </c>
      <c r="T372" s="61">
        <f>Input!M81</f>
        <v>0</v>
      </c>
    </row>
    <row r="373" spans="1:20" hidden="1" x14ac:dyDescent="0.3">
      <c r="A373" s="111" t="s">
        <v>52</v>
      </c>
      <c r="B373" s="74" t="s">
        <v>67</v>
      </c>
      <c r="C373" s="75">
        <f>D372+TIME(0,3,0)</f>
        <v>46117.697916666672</v>
      </c>
      <c r="D373" s="75">
        <f>C373+TIME(0,10,0)</f>
        <v>46117.704861111117</v>
      </c>
      <c r="E373" s="74" t="str">
        <f>E372</f>
        <v>Quarters</v>
      </c>
      <c r="F373" s="74">
        <f t="shared" si="71"/>
        <v>1</v>
      </c>
      <c r="G373" s="74" t="s">
        <v>435</v>
      </c>
      <c r="H373" s="74" t="str">
        <f ca="1">IF(OR(S373="",T373=""),"",IFERROR(_xludf.XLOOKUP(S373,'Registrations'!#REF!,'Registrations'!#REF!,_xludf.XLOOKUP(S373,'Registrations'!$B$4:$B$211,'Registrations'!$E$4:$E$211,S373)),S373) &amp; " vs " &amp; IFERROR(_xludf.XLOOKUP(T373,'Registrations'!#REF!,'Registrations'!#REF!,_xludf.XLOOKUP(T373,'Registrations'!$B$4:$B$211,'Registrations'!$E$4:$E$211,T373)),T373))</f>
        <v>0 vs 0</v>
      </c>
      <c r="I373" s="74"/>
      <c r="J373" s="74"/>
      <c r="K373" s="74">
        <f>IF(Schedules[[#This Row],[Player 2]]="",Schedules[[#This Row],[Player 1]],Schedules[[#This Row],[Player 1]]&amp;" / "&amp;Schedules[[#This Row],[Player 2]])</f>
        <v>0</v>
      </c>
      <c r="L373" s="74">
        <v>15</v>
      </c>
      <c r="M373" s="74" t="str">
        <f t="shared" si="68"/>
        <v>WIN</v>
      </c>
      <c r="N373" s="74"/>
      <c r="O373" s="74"/>
      <c r="P373" s="74">
        <f>IF(Schedules[[#This Row],[Player 4]]="",Schedules[[#This Row],[Player 3]],Schedules[[#This Row],[Player 3]]&amp;" / "&amp;Schedules[[#This Row],[Player 4]])</f>
        <v>0</v>
      </c>
      <c r="Q373" s="74">
        <v>10</v>
      </c>
      <c r="R373" s="74" t="str">
        <f t="shared" si="69"/>
        <v>LOST</v>
      </c>
      <c r="S373" s="61">
        <f>Input!L83</f>
        <v>0</v>
      </c>
      <c r="T373" s="61">
        <f>Input!M83</f>
        <v>0</v>
      </c>
    </row>
    <row r="374" spans="1:20" hidden="1" x14ac:dyDescent="0.3">
      <c r="A374" s="113" t="s">
        <v>52</v>
      </c>
      <c r="B374" s="72" t="s">
        <v>67</v>
      </c>
      <c r="C374" s="73">
        <f>C373</f>
        <v>46117.697916666672</v>
      </c>
      <c r="D374" s="73">
        <f>D373</f>
        <v>46117.704861111117</v>
      </c>
      <c r="E374" s="72" t="s">
        <v>427</v>
      </c>
      <c r="F374" s="72">
        <f t="shared" si="71"/>
        <v>2</v>
      </c>
      <c r="G374" s="72" t="s">
        <v>426</v>
      </c>
      <c r="H374" s="72" t="str">
        <f ca="1">IF(OR(S374="",T374=""),"",IFERROR(_xludf.XLOOKUP(S374,'Registrations'!#REF!,'Registrations'!#REF!,_xludf.XLOOKUP(S374,'Registrations'!$B$4:$B$211,'Registrations'!$E$4:$E$211,S374)),S374) &amp; " vs " &amp; IFERROR(_xludf.XLOOKUP(T374,'Registrations'!#REF!,'Registrations'!#REF!,_xludf.XLOOKUP(T374,'Registrations'!$B$4:$B$211,'Registrations'!$E$4:$E$211,T374)),T374))</f>
        <v>Sanjay Gatti / Prabhakar Ghadge vs 0</v>
      </c>
      <c r="I374" s="72"/>
      <c r="J374" s="72"/>
      <c r="K374" s="72">
        <f>IF(Schedules[[#This Row],[Player 2]]="",Schedules[[#This Row],[Player 1]],Schedules[[#This Row],[Player 1]]&amp;" / "&amp;Schedules[[#This Row],[Player 2]])</f>
        <v>0</v>
      </c>
      <c r="L374" s="72">
        <v>15</v>
      </c>
      <c r="M374" s="72" t="str">
        <f t="shared" si="68"/>
        <v>WIN</v>
      </c>
      <c r="N374" s="72"/>
      <c r="O374" s="72"/>
      <c r="P374" s="72">
        <f>IF(Schedules[[#This Row],[Player 4]]="",Schedules[[#This Row],[Player 3]],Schedules[[#This Row],[Player 3]]&amp;" / "&amp;Schedules[[#This Row],[Player 4]])</f>
        <v>0</v>
      </c>
      <c r="Q374" s="72">
        <v>10</v>
      </c>
      <c r="R374" s="72" t="str">
        <f t="shared" si="69"/>
        <v>LOST</v>
      </c>
      <c r="S374" s="61" t="str">
        <f>Input!P80</f>
        <v>Sanjay Gatti / Prabhakar Ghadge</v>
      </c>
      <c r="T374" s="61">
        <f>Input!Q80</f>
        <v>0</v>
      </c>
    </row>
    <row r="375" spans="1:20" hidden="1" x14ac:dyDescent="0.3">
      <c r="A375" s="113" t="s">
        <v>52</v>
      </c>
      <c r="B375" s="72" t="s">
        <v>67</v>
      </c>
      <c r="C375" s="73">
        <f>C374</f>
        <v>46117.697916666672</v>
      </c>
      <c r="D375" s="73">
        <f>D374</f>
        <v>46117.704861111117</v>
      </c>
      <c r="E375" s="72" t="str">
        <f>E374</f>
        <v>Semi Final</v>
      </c>
      <c r="F375" s="72">
        <f t="shared" si="71"/>
        <v>3</v>
      </c>
      <c r="G375" s="72" t="s">
        <v>434</v>
      </c>
      <c r="H375" s="72" t="str">
        <f ca="1">IF(OR(S375="",T375=""),"",IFERROR(_xludf.XLOOKUP(S375,'Registrations'!#REF!,'Registrations'!#REF!,_xludf.XLOOKUP(S375,'Registrations'!$B$4:$B$211,'Registrations'!$E$4:$E$211,S375)),S375) &amp; " vs " &amp; IFERROR(_xludf.XLOOKUP(T375,'Registrations'!#REF!,'Registrations'!#REF!,_xludf.XLOOKUP(T375,'Registrations'!$B$4:$B$211,'Registrations'!$E$4:$E$211,T375)),T375))</f>
        <v>0 vs 0</v>
      </c>
      <c r="I375" s="72"/>
      <c r="J375" s="72"/>
      <c r="K375" s="72">
        <f>IF(Schedules[[#This Row],[Player 2]]="",Schedules[[#This Row],[Player 1]],Schedules[[#This Row],[Player 1]]&amp;" / "&amp;Schedules[[#This Row],[Player 2]])</f>
        <v>0</v>
      </c>
      <c r="L375" s="72">
        <v>15</v>
      </c>
      <c r="M375" s="72" t="str">
        <f t="shared" si="68"/>
        <v>WIN</v>
      </c>
      <c r="N375" s="72"/>
      <c r="O375" s="72"/>
      <c r="P375" s="72">
        <f>IF(Schedules[[#This Row],[Player 4]]="",Schedules[[#This Row],[Player 3]],Schedules[[#This Row],[Player 3]]&amp;" / "&amp;Schedules[[#This Row],[Player 4]])</f>
        <v>0</v>
      </c>
      <c r="Q375" s="72">
        <v>10</v>
      </c>
      <c r="R375" s="72" t="str">
        <f t="shared" si="69"/>
        <v>LOST</v>
      </c>
      <c r="S375" s="61">
        <f>Input!P81</f>
        <v>0</v>
      </c>
      <c r="T375" s="61">
        <f>Input!Q81</f>
        <v>0</v>
      </c>
    </row>
    <row r="376" spans="1:20" hidden="1" x14ac:dyDescent="0.3">
      <c r="A376" s="114" t="s">
        <v>52</v>
      </c>
      <c r="B376" s="68" t="s">
        <v>67</v>
      </c>
      <c r="C376" s="69">
        <f>D375+TIME(0,3,0)</f>
        <v>46117.70694444445</v>
      </c>
      <c r="D376" s="69">
        <f>C376+TIME(0,10,0)</f>
        <v>46117.713888888895</v>
      </c>
      <c r="E376" s="68" t="s">
        <v>423</v>
      </c>
      <c r="F376" s="68">
        <f t="shared" si="71"/>
        <v>1</v>
      </c>
      <c r="G376" s="68" t="s">
        <v>422</v>
      </c>
      <c r="H376" s="68" t="str">
        <f ca="1">IF(OR(S376="",T376=""),"",IFERROR(_xludf.XLOOKUP(S376,'Registrations'!#REF!,'Registrations'!#REF!,_xludf.XLOOKUP(S376,'Registrations'!$B$4:$B$211,'Registrations'!$E$4:$E$211,S376)),S376) &amp; " vs " &amp; IFERROR(_xludf.XLOOKUP(T376,'Registrations'!#REF!,'Registrations'!#REF!,_xludf.XLOOKUP(T376,'Registrations'!$B$4:$B$211,'Registrations'!$E$4:$E$211,T376)),T376))</f>
        <v>Sanjay Gatti / Prabhakar Ghadge vs 0</v>
      </c>
      <c r="I376" s="68"/>
      <c r="J376" s="68"/>
      <c r="K376" s="68">
        <f>IF(Schedules[[#This Row],[Player 2]]="",Schedules[[#This Row],[Player 1]],Schedules[[#This Row],[Player 1]]&amp;" / "&amp;Schedules[[#This Row],[Player 2]])</f>
        <v>0</v>
      </c>
      <c r="L376" s="68">
        <v>15</v>
      </c>
      <c r="M376" s="68" t="str">
        <f t="shared" si="68"/>
        <v>WIN</v>
      </c>
      <c r="N376" s="68"/>
      <c r="O376" s="68"/>
      <c r="P376" s="68">
        <f>IF(Schedules[[#This Row],[Player 4]]="",Schedules[[#This Row],[Player 3]],Schedules[[#This Row],[Player 3]]&amp;" / "&amp;Schedules[[#This Row],[Player 4]])</f>
        <v>0</v>
      </c>
      <c r="Q376" s="68">
        <v>10</v>
      </c>
      <c r="R376" s="68" t="str">
        <f t="shared" si="69"/>
        <v>LOST</v>
      </c>
      <c r="S376" s="61" t="str">
        <f>Input!T80</f>
        <v>Sanjay Gatti / Prabhakar Ghadge</v>
      </c>
      <c r="T376" s="61">
        <f>Input!U80</f>
        <v>0</v>
      </c>
    </row>
    <row r="377" spans="1:20" hidden="1" x14ac:dyDescent="0.3">
      <c r="A377" s="109" t="s">
        <v>53</v>
      </c>
      <c r="B377" s="78" t="s">
        <v>67</v>
      </c>
      <c r="C377" s="79">
        <f>C376</f>
        <v>46117.70694444445</v>
      </c>
      <c r="D377" s="79">
        <f>D376</f>
        <v>46117.713888888895</v>
      </c>
      <c r="E377" s="78" t="s">
        <v>433</v>
      </c>
      <c r="F377" s="78">
        <f t="shared" si="71"/>
        <v>2</v>
      </c>
      <c r="G377" s="78">
        <v>1</v>
      </c>
      <c r="H377" s="78" t="str">
        <f ca="1">IF(OR(S377="",T377=""),"",IFERROR(_xludf.XLOOKUP(S377,'Registrations'!#REF!,'Registrations'!#REF!,_xludf.XLOOKUP(S377,'Registrations'!$B$4:$B$211,'Registrations'!$E$4:$E$211,S377)),S377) &amp; " vs " &amp; IFERROR(_xludf.XLOOKUP(T377,'Registrations'!#REF!,'Registrations'!#REF!,_xludf.XLOOKUP(T377,'Registrations'!$B$4:$B$211,'Registrations'!$E$4:$E$211,T377)),T377))</f>
        <v>Sachin Verma / Hema Thakkar vs Amandeep Saini / Alisha Bhise</v>
      </c>
      <c r="I377" s="78"/>
      <c r="J377" s="78"/>
      <c r="K377" s="78">
        <f>IF(Schedules[[#This Row],[Player 2]]="",Schedules[[#This Row],[Player 1]],Schedules[[#This Row],[Player 1]]&amp;" / "&amp;Schedules[[#This Row],[Player 2]])</f>
        <v>0</v>
      </c>
      <c r="L377" s="78">
        <v>15</v>
      </c>
      <c r="M377" s="78" t="str">
        <f t="shared" si="68"/>
        <v>WIN</v>
      </c>
      <c r="N377" s="78"/>
      <c r="O377" s="78"/>
      <c r="P377" s="78">
        <f>IF(Schedules[[#This Row],[Player 4]]="",Schedules[[#This Row],[Player 3]],Schedules[[#This Row],[Player 3]]&amp;" / "&amp;Schedules[[#This Row],[Player 4]])</f>
        <v>0</v>
      </c>
      <c r="Q377" s="78">
        <v>10</v>
      </c>
      <c r="R377" s="78" t="str">
        <f t="shared" si="69"/>
        <v>LOST</v>
      </c>
      <c r="S377" s="61" t="str">
        <f>Input!B91</f>
        <v>Sachin Verma / Hema Thakkar</v>
      </c>
      <c r="T377" s="61" t="str">
        <f>Input!C91</f>
        <v>Amandeep Saini / Alisha Bhise</v>
      </c>
    </row>
    <row r="378" spans="1:20" hidden="1" x14ac:dyDescent="0.3">
      <c r="A378" s="109" t="s">
        <v>53</v>
      </c>
      <c r="B378" s="78" t="s">
        <v>67</v>
      </c>
      <c r="C378" s="79">
        <f>C377</f>
        <v>46117.70694444445</v>
      </c>
      <c r="D378" s="79">
        <f>D377</f>
        <v>46117.713888888895</v>
      </c>
      <c r="E378" s="78" t="str">
        <f t="shared" ref="E378:E388" si="74">E377</f>
        <v>Group</v>
      </c>
      <c r="F378" s="78">
        <f t="shared" si="71"/>
        <v>3</v>
      </c>
      <c r="G378" s="78">
        <v>1</v>
      </c>
      <c r="H378" s="78" t="str">
        <f ca="1">IF(OR(S378="",T378=""),"",IFERROR(_xludf.XLOOKUP(S378,'Registrations'!#REF!,'Registrations'!#REF!,_xludf.XLOOKUP(S378,'Registrations'!$B$4:$B$211,'Registrations'!$E$4:$E$211,S378)),S378) &amp; " vs " &amp; IFERROR(_xludf.XLOOKUP(T378,'Registrations'!#REF!,'Registrations'!#REF!,_xludf.XLOOKUP(T378,'Registrations'!$B$4:$B$211,'Registrations'!$E$4:$E$211,T378)),T378))</f>
        <v>Nachiket Gogia / Purva Verma vs 0</v>
      </c>
      <c r="I378" s="78"/>
      <c r="J378" s="78"/>
      <c r="K378" s="78">
        <f>IF(Schedules[[#This Row],[Player 2]]="",Schedules[[#This Row],[Player 1]],Schedules[[#This Row],[Player 1]]&amp;" / "&amp;Schedules[[#This Row],[Player 2]])</f>
        <v>0</v>
      </c>
      <c r="L378" s="78">
        <v>15</v>
      </c>
      <c r="M378" s="78" t="str">
        <f t="shared" si="68"/>
        <v>WIN</v>
      </c>
      <c r="N378" s="78"/>
      <c r="O378" s="78"/>
      <c r="P378" s="78">
        <f>IF(Schedules[[#This Row],[Player 4]]="",Schedules[[#This Row],[Player 3]],Schedules[[#This Row],[Player 3]]&amp;" / "&amp;Schedules[[#This Row],[Player 4]])</f>
        <v>0</v>
      </c>
      <c r="Q378" s="78">
        <v>10</v>
      </c>
      <c r="R378" s="78" t="str">
        <f t="shared" si="69"/>
        <v>LOST</v>
      </c>
      <c r="S378" s="61" t="str">
        <f>Input!D91</f>
        <v>Nachiket Gogia / Purva Verma</v>
      </c>
      <c r="T378" s="61">
        <f>Input!E91</f>
        <v>0</v>
      </c>
    </row>
    <row r="379" spans="1:20" hidden="1" x14ac:dyDescent="0.3">
      <c r="A379" s="109" t="s">
        <v>53</v>
      </c>
      <c r="B379" s="78" t="s">
        <v>67</v>
      </c>
      <c r="C379" s="79">
        <f>D378+TIME(0,3,0)</f>
        <v>46117.715972222228</v>
      </c>
      <c r="D379" s="79">
        <f>C379+TIME(0,10,0)</f>
        <v>46117.722916666673</v>
      </c>
      <c r="E379" s="78" t="str">
        <f t="shared" si="74"/>
        <v>Group</v>
      </c>
      <c r="F379" s="78">
        <f t="shared" si="71"/>
        <v>1</v>
      </c>
      <c r="G379" s="78">
        <v>2</v>
      </c>
      <c r="H379" s="78" t="str">
        <f ca="1">IF(OR(S379="",T379=""),"",IFERROR(_xludf.XLOOKUP(S379,'Registrations'!#REF!,'Registrations'!#REF!,_xludf.XLOOKUP(S379,'Registrations'!$B$4:$B$211,'Registrations'!$E$4:$E$211,S379)),S379) &amp; " vs " &amp; IFERROR(_xludf.XLOOKUP(T379,'Registrations'!#REF!,'Registrations'!#REF!,_xludf.XLOOKUP(T379,'Registrations'!$B$4:$B$211,'Registrations'!$E$4:$E$211,T379)),T379))</f>
        <v>0 vs 0</v>
      </c>
      <c r="I379" s="78"/>
      <c r="J379" s="78"/>
      <c r="K379" s="78">
        <f>IF(Schedules[[#This Row],[Player 2]]="",Schedules[[#This Row],[Player 1]],Schedules[[#This Row],[Player 1]]&amp;" / "&amp;Schedules[[#This Row],[Player 2]])</f>
        <v>0</v>
      </c>
      <c r="L379" s="78">
        <v>15</v>
      </c>
      <c r="M379" s="78" t="str">
        <f t="shared" si="68"/>
        <v>WIN</v>
      </c>
      <c r="N379" s="78"/>
      <c r="O379" s="78"/>
      <c r="P379" s="78">
        <f>IF(Schedules[[#This Row],[Player 4]]="",Schedules[[#This Row],[Player 3]],Schedules[[#This Row],[Player 3]]&amp;" / "&amp;Schedules[[#This Row],[Player 4]])</f>
        <v>0</v>
      </c>
      <c r="Q379" s="78">
        <v>10</v>
      </c>
      <c r="R379" s="78" t="str">
        <f t="shared" si="69"/>
        <v>LOST</v>
      </c>
      <c r="S379" s="61">
        <f>Input!B92</f>
        <v>0</v>
      </c>
      <c r="T379" s="61">
        <f>Input!C92</f>
        <v>0</v>
      </c>
    </row>
    <row r="380" spans="1:20" hidden="1" x14ac:dyDescent="0.3">
      <c r="A380" s="109" t="s">
        <v>53</v>
      </c>
      <c r="B380" s="78" t="s">
        <v>67</v>
      </c>
      <c r="C380" s="79">
        <f>C379</f>
        <v>46117.715972222228</v>
      </c>
      <c r="D380" s="79">
        <f>D379</f>
        <v>46117.722916666673</v>
      </c>
      <c r="E380" s="78" t="str">
        <f t="shared" si="74"/>
        <v>Group</v>
      </c>
      <c r="F380" s="78">
        <f t="shared" si="71"/>
        <v>2</v>
      </c>
      <c r="G380" s="78">
        <v>1</v>
      </c>
      <c r="H380" s="78" t="str">
        <f ca="1">IF(OR(S380="",T380=""),"",IFERROR(_xludf.XLOOKUP(S380,'Registrations'!#REF!,'Registrations'!#REF!,_xludf.XLOOKUP(S380,'Registrations'!$B$4:$B$211,'Registrations'!$E$4:$E$211,S380)),S380) &amp; " vs " &amp; IFERROR(_xludf.XLOOKUP(T380,'Registrations'!#REF!,'Registrations'!#REF!,_xludf.XLOOKUP(T380,'Registrations'!$B$4:$B$211,'Registrations'!$E$4:$E$211,T380)),T380))</f>
        <v>Sachin Verma / Hema Thakkar vs Nachiket Gogia / Purva Verma</v>
      </c>
      <c r="I380" s="78"/>
      <c r="J380" s="78"/>
      <c r="K380" s="78">
        <f>IF(Schedules[[#This Row],[Player 2]]="",Schedules[[#This Row],[Player 1]],Schedules[[#This Row],[Player 1]]&amp;" / "&amp;Schedules[[#This Row],[Player 2]])</f>
        <v>0</v>
      </c>
      <c r="L380" s="78">
        <v>15</v>
      </c>
      <c r="M380" s="78" t="str">
        <f t="shared" si="68"/>
        <v>WIN</v>
      </c>
      <c r="N380" s="78"/>
      <c r="O380" s="78"/>
      <c r="P380" s="78">
        <f>IF(Schedules[[#This Row],[Player 4]]="",Schedules[[#This Row],[Player 3]],Schedules[[#This Row],[Player 3]]&amp;" / "&amp;Schedules[[#This Row],[Player 4]])</f>
        <v>0</v>
      </c>
      <c r="Q380" s="78">
        <v>10</v>
      </c>
      <c r="R380" s="78" t="str">
        <f t="shared" si="69"/>
        <v>LOST</v>
      </c>
      <c r="S380" s="61" t="str">
        <f>Input!B91</f>
        <v>Sachin Verma / Hema Thakkar</v>
      </c>
      <c r="T380" s="61" t="str">
        <f>Input!D91</f>
        <v>Nachiket Gogia / Purva Verma</v>
      </c>
    </row>
    <row r="381" spans="1:20" hidden="1" x14ac:dyDescent="0.3">
      <c r="A381" s="109" t="s">
        <v>53</v>
      </c>
      <c r="B381" s="78" t="s">
        <v>67</v>
      </c>
      <c r="C381" s="79">
        <f>C380</f>
        <v>46117.715972222228</v>
      </c>
      <c r="D381" s="79">
        <f>D380</f>
        <v>46117.722916666673</v>
      </c>
      <c r="E381" s="78" t="str">
        <f t="shared" si="74"/>
        <v>Group</v>
      </c>
      <c r="F381" s="78">
        <f t="shared" si="71"/>
        <v>3</v>
      </c>
      <c r="G381" s="78">
        <v>1</v>
      </c>
      <c r="H381" s="78" t="str">
        <f ca="1">IF(OR(S381="",T381=""),"",IFERROR(_xludf.XLOOKUP(S381,'Registrations'!#REF!,'Registrations'!#REF!,_xludf.XLOOKUP(S381,'Registrations'!$B$4:$B$211,'Registrations'!$E$4:$E$211,S381)),S381) &amp; " vs " &amp; IFERROR(_xludf.XLOOKUP(T381,'Registrations'!#REF!,'Registrations'!#REF!,_xludf.XLOOKUP(T381,'Registrations'!$B$4:$B$211,'Registrations'!$E$4:$E$211,T381)),T381))</f>
        <v>Amandeep Saini / Alisha Bhise vs 0</v>
      </c>
      <c r="I381" s="78"/>
      <c r="J381" s="78"/>
      <c r="K381" s="78">
        <f>IF(Schedules[[#This Row],[Player 2]]="",Schedules[[#This Row],[Player 1]],Schedules[[#This Row],[Player 1]]&amp;" / "&amp;Schedules[[#This Row],[Player 2]])</f>
        <v>0</v>
      </c>
      <c r="L381" s="78">
        <v>15</v>
      </c>
      <c r="M381" s="78" t="str">
        <f t="shared" si="68"/>
        <v>WIN</v>
      </c>
      <c r="N381" s="78"/>
      <c r="O381" s="78"/>
      <c r="P381" s="78">
        <f>IF(Schedules[[#This Row],[Player 4]]="",Schedules[[#This Row],[Player 3]],Schedules[[#This Row],[Player 3]]&amp;" / "&amp;Schedules[[#This Row],[Player 4]])</f>
        <v>0</v>
      </c>
      <c r="Q381" s="78">
        <v>10</v>
      </c>
      <c r="R381" s="78" t="str">
        <f t="shared" si="69"/>
        <v>LOST</v>
      </c>
      <c r="S381" s="61" t="str">
        <f>Input!C91</f>
        <v>Amandeep Saini / Alisha Bhise</v>
      </c>
      <c r="T381" s="61">
        <f>Input!E91</f>
        <v>0</v>
      </c>
    </row>
    <row r="382" spans="1:20" hidden="1" x14ac:dyDescent="0.3">
      <c r="A382" s="109" t="s">
        <v>53</v>
      </c>
      <c r="B382" s="78" t="s">
        <v>67</v>
      </c>
      <c r="C382" s="79">
        <f>D381+TIME(0,3,0)</f>
        <v>46117.725000000006</v>
      </c>
      <c r="D382" s="79">
        <f>C382+TIME(0,10,0)</f>
        <v>46117.731944444451</v>
      </c>
      <c r="E382" s="78" t="str">
        <f t="shared" si="74"/>
        <v>Group</v>
      </c>
      <c r="F382" s="78">
        <f t="shared" si="71"/>
        <v>1</v>
      </c>
      <c r="G382" s="78">
        <v>2</v>
      </c>
      <c r="H382" s="78" t="str">
        <f ca="1">IF(OR(S382="",T382=""),"",IFERROR(_xludf.XLOOKUP(S382,'Registrations'!#REF!,'Registrations'!#REF!,_xludf.XLOOKUP(S382,'Registrations'!$B$4:$B$211,'Registrations'!$E$4:$E$211,S382)),S382) &amp; " vs " &amp; IFERROR(_xludf.XLOOKUP(T382,'Registrations'!#REF!,'Registrations'!#REF!,_xludf.XLOOKUP(T382,'Registrations'!$B$4:$B$211,'Registrations'!$E$4:$E$211,T382)),T382))</f>
        <v>0 vs 0</v>
      </c>
      <c r="I382" s="78"/>
      <c r="J382" s="78"/>
      <c r="K382" s="78">
        <f>IF(Schedules[[#This Row],[Player 2]]="",Schedules[[#This Row],[Player 1]],Schedules[[#This Row],[Player 1]]&amp;" / "&amp;Schedules[[#This Row],[Player 2]])</f>
        <v>0</v>
      </c>
      <c r="L382" s="78">
        <v>15</v>
      </c>
      <c r="M382" s="78" t="str">
        <f t="shared" si="68"/>
        <v>WIN</v>
      </c>
      <c r="N382" s="78"/>
      <c r="O382" s="78"/>
      <c r="P382" s="78">
        <f>IF(Schedules[[#This Row],[Player 4]]="",Schedules[[#This Row],[Player 3]],Schedules[[#This Row],[Player 3]]&amp;" / "&amp;Schedules[[#This Row],[Player 4]])</f>
        <v>0</v>
      </c>
      <c r="Q382" s="78">
        <v>10</v>
      </c>
      <c r="R382" s="78" t="str">
        <f t="shared" si="69"/>
        <v>LOST</v>
      </c>
      <c r="S382" s="61">
        <f>Input!D92</f>
        <v>0</v>
      </c>
      <c r="T382" s="61">
        <f>Input!E92</f>
        <v>0</v>
      </c>
    </row>
    <row r="383" spans="1:20" hidden="1" x14ac:dyDescent="0.3">
      <c r="A383" s="109" t="s">
        <v>53</v>
      </c>
      <c r="B383" s="78" t="s">
        <v>67</v>
      </c>
      <c r="C383" s="79">
        <f>C382</f>
        <v>46117.725000000006</v>
      </c>
      <c r="D383" s="79">
        <f>D382</f>
        <v>46117.731944444451</v>
      </c>
      <c r="E383" s="78" t="str">
        <f t="shared" si="74"/>
        <v>Group</v>
      </c>
      <c r="F383" s="78">
        <f t="shared" si="71"/>
        <v>2</v>
      </c>
      <c r="G383" s="78">
        <v>2</v>
      </c>
      <c r="H383" s="78" t="str">
        <f ca="1">IF(OR(S383="",T383=""),"",IFERROR(_xludf.XLOOKUP(S383,'Registrations'!#REF!,'Registrations'!#REF!,_xludf.XLOOKUP(S383,'Registrations'!$B$4:$B$211,'Registrations'!$E$4:$E$211,S383)),S383) &amp; " vs " &amp; IFERROR(_xludf.XLOOKUP(T383,'Registrations'!#REF!,'Registrations'!#REF!,_xludf.XLOOKUP(T383,'Registrations'!$B$4:$B$211,'Registrations'!$E$4:$E$211,T383)),T383))</f>
        <v>0 vs 0</v>
      </c>
      <c r="I383" s="78"/>
      <c r="J383" s="78"/>
      <c r="K383" s="78">
        <f>IF(Schedules[[#This Row],[Player 2]]="",Schedules[[#This Row],[Player 1]],Schedules[[#This Row],[Player 1]]&amp;" / "&amp;Schedules[[#This Row],[Player 2]])</f>
        <v>0</v>
      </c>
      <c r="L383" s="78">
        <v>15</v>
      </c>
      <c r="M383" s="78" t="str">
        <f t="shared" si="68"/>
        <v>WIN</v>
      </c>
      <c r="N383" s="78"/>
      <c r="O383" s="78"/>
      <c r="P383" s="78">
        <f>IF(Schedules[[#This Row],[Player 4]]="",Schedules[[#This Row],[Player 3]],Schedules[[#This Row],[Player 3]]&amp;" / "&amp;Schedules[[#This Row],[Player 4]])</f>
        <v>0</v>
      </c>
      <c r="Q383" s="78">
        <v>10</v>
      </c>
      <c r="R383" s="78" t="str">
        <f t="shared" si="69"/>
        <v>LOST</v>
      </c>
      <c r="S383" s="61">
        <f>Input!B92</f>
        <v>0</v>
      </c>
      <c r="T383" s="61">
        <f>Input!D92</f>
        <v>0</v>
      </c>
    </row>
    <row r="384" spans="1:20" hidden="1" x14ac:dyDescent="0.3">
      <c r="A384" s="109" t="s">
        <v>53</v>
      </c>
      <c r="B384" s="78" t="s">
        <v>67</v>
      </c>
      <c r="C384" s="79">
        <f>C383</f>
        <v>46117.725000000006</v>
      </c>
      <c r="D384" s="79">
        <f>D383</f>
        <v>46117.731944444451</v>
      </c>
      <c r="E384" s="78" t="str">
        <f t="shared" si="74"/>
        <v>Group</v>
      </c>
      <c r="F384" s="78">
        <f t="shared" ref="F384:F415" si="75">F381</f>
        <v>3</v>
      </c>
      <c r="G384" s="78">
        <v>2</v>
      </c>
      <c r="H384" s="78" t="str">
        <f ca="1">IF(OR(S384="",T384=""),"",IFERROR(_xludf.XLOOKUP(S384,'Registrations'!#REF!,'Registrations'!#REF!,_xludf.XLOOKUP(S384,'Registrations'!$B$4:$B$211,'Registrations'!$E$4:$E$211,S384)),S384) &amp; " vs " &amp; IFERROR(_xludf.XLOOKUP(T384,'Registrations'!#REF!,'Registrations'!#REF!,_xludf.XLOOKUP(T384,'Registrations'!$B$4:$B$211,'Registrations'!$E$4:$E$211,T384)),T384))</f>
        <v>0 vs 0</v>
      </c>
      <c r="I384" s="78"/>
      <c r="J384" s="78"/>
      <c r="K384" s="78">
        <f>IF(Schedules[[#This Row],[Player 2]]="",Schedules[[#This Row],[Player 1]],Schedules[[#This Row],[Player 1]]&amp;" / "&amp;Schedules[[#This Row],[Player 2]])</f>
        <v>0</v>
      </c>
      <c r="L384" s="78">
        <v>15</v>
      </c>
      <c r="M384" s="78" t="str">
        <f t="shared" si="68"/>
        <v>WIN</v>
      </c>
      <c r="N384" s="78"/>
      <c r="O384" s="78"/>
      <c r="P384" s="78">
        <f>IF(Schedules[[#This Row],[Player 4]]="",Schedules[[#This Row],[Player 3]],Schedules[[#This Row],[Player 3]]&amp;" / "&amp;Schedules[[#This Row],[Player 4]])</f>
        <v>0</v>
      </c>
      <c r="Q384" s="78">
        <v>10</v>
      </c>
      <c r="R384" s="78" t="str">
        <f t="shared" si="69"/>
        <v>LOST</v>
      </c>
      <c r="S384" s="61">
        <f>Input!C92</f>
        <v>0</v>
      </c>
      <c r="T384" s="61">
        <f>Input!E92</f>
        <v>0</v>
      </c>
    </row>
    <row r="385" spans="1:20" hidden="1" x14ac:dyDescent="0.3">
      <c r="A385" s="109" t="s">
        <v>53</v>
      </c>
      <c r="B385" s="78" t="s">
        <v>67</v>
      </c>
      <c r="C385" s="79">
        <f>D384+TIME(0,3,0)</f>
        <v>46117.734027777784</v>
      </c>
      <c r="D385" s="79">
        <f>C385+TIME(0,10,0)</f>
        <v>46117.740972222229</v>
      </c>
      <c r="E385" s="78" t="str">
        <f t="shared" si="74"/>
        <v>Group</v>
      </c>
      <c r="F385" s="78">
        <f t="shared" si="75"/>
        <v>1</v>
      </c>
      <c r="G385" s="78">
        <v>1</v>
      </c>
      <c r="H385" s="78" t="str">
        <f ca="1">IF(OR(S385="",T385=""),"",IFERROR(_xludf.XLOOKUP(S385,'Registrations'!#REF!,'Registrations'!#REF!,_xludf.XLOOKUP(S385,'Registrations'!$B$4:$B$211,'Registrations'!$E$4:$E$211,S385)),S385) &amp; " vs " &amp; IFERROR(_xludf.XLOOKUP(T385,'Registrations'!#REF!,'Registrations'!#REF!,_xludf.XLOOKUP(T385,'Registrations'!$B$4:$B$211,'Registrations'!$E$4:$E$211,T385)),T385))</f>
        <v>Sachin Verma / Hema Thakkar vs 0</v>
      </c>
      <c r="I385" s="78"/>
      <c r="J385" s="78"/>
      <c r="K385" s="78">
        <f>IF(Schedules[[#This Row],[Player 2]]="",Schedules[[#This Row],[Player 1]],Schedules[[#This Row],[Player 1]]&amp;" / "&amp;Schedules[[#This Row],[Player 2]])</f>
        <v>0</v>
      </c>
      <c r="L385" s="78">
        <v>15</v>
      </c>
      <c r="M385" s="78" t="str">
        <f t="shared" si="68"/>
        <v>WIN</v>
      </c>
      <c r="N385" s="78"/>
      <c r="O385" s="78"/>
      <c r="P385" s="78">
        <f>IF(Schedules[[#This Row],[Player 4]]="",Schedules[[#This Row],[Player 3]],Schedules[[#This Row],[Player 3]]&amp;" / "&amp;Schedules[[#This Row],[Player 4]])</f>
        <v>0</v>
      </c>
      <c r="Q385" s="78">
        <v>10</v>
      </c>
      <c r="R385" s="78" t="str">
        <f t="shared" si="69"/>
        <v>LOST</v>
      </c>
      <c r="S385" s="61" t="str">
        <f>Input!B91</f>
        <v>Sachin Verma / Hema Thakkar</v>
      </c>
      <c r="T385" s="61">
        <f>Input!E91</f>
        <v>0</v>
      </c>
    </row>
    <row r="386" spans="1:20" hidden="1" x14ac:dyDescent="0.3">
      <c r="A386" s="109" t="s">
        <v>53</v>
      </c>
      <c r="B386" s="78" t="s">
        <v>67</v>
      </c>
      <c r="C386" s="79">
        <f>C385</f>
        <v>46117.734027777784</v>
      </c>
      <c r="D386" s="79">
        <f>D385</f>
        <v>46117.740972222229</v>
      </c>
      <c r="E386" s="78" t="str">
        <f t="shared" si="74"/>
        <v>Group</v>
      </c>
      <c r="F386" s="78">
        <f t="shared" si="75"/>
        <v>2</v>
      </c>
      <c r="G386" s="78">
        <v>2</v>
      </c>
      <c r="H386" s="78" t="str">
        <f ca="1">IF(OR(S386="",T386=""),"",IFERROR(_xludf.XLOOKUP(S386,'Registrations'!#REF!,'Registrations'!#REF!,_xludf.XLOOKUP(S386,'Registrations'!$B$4:$B$211,'Registrations'!$E$4:$E$211,S386)),S386) &amp; " vs " &amp; IFERROR(_xludf.XLOOKUP(T386,'Registrations'!#REF!,'Registrations'!#REF!,_xludf.XLOOKUP(T386,'Registrations'!$B$4:$B$211,'Registrations'!$E$4:$E$211,T386)),T386))</f>
        <v>0 vs 0</v>
      </c>
      <c r="I386" s="78"/>
      <c r="J386" s="78"/>
      <c r="K386" s="78">
        <f>IF(Schedules[[#This Row],[Player 2]]="",Schedules[[#This Row],[Player 1]],Schedules[[#This Row],[Player 1]]&amp;" / "&amp;Schedules[[#This Row],[Player 2]])</f>
        <v>0</v>
      </c>
      <c r="L386" s="78">
        <v>15</v>
      </c>
      <c r="M386" s="78" t="str">
        <f t="shared" si="68"/>
        <v>WIN</v>
      </c>
      <c r="N386" s="78"/>
      <c r="O386" s="78"/>
      <c r="P386" s="78">
        <f>IF(Schedules[[#This Row],[Player 4]]="",Schedules[[#This Row],[Player 3]],Schedules[[#This Row],[Player 3]]&amp;" / "&amp;Schedules[[#This Row],[Player 4]])</f>
        <v>0</v>
      </c>
      <c r="Q386" s="78">
        <v>10</v>
      </c>
      <c r="R386" s="78" t="str">
        <f t="shared" si="69"/>
        <v>LOST</v>
      </c>
      <c r="S386" s="61">
        <f>Input!B92</f>
        <v>0</v>
      </c>
      <c r="T386" s="61">
        <f>Input!E92</f>
        <v>0</v>
      </c>
    </row>
    <row r="387" spans="1:20" hidden="1" x14ac:dyDescent="0.3">
      <c r="A387" s="109" t="s">
        <v>53</v>
      </c>
      <c r="B387" s="78" t="s">
        <v>67</v>
      </c>
      <c r="C387" s="79">
        <f>C386</f>
        <v>46117.734027777784</v>
      </c>
      <c r="D387" s="79">
        <f>D386</f>
        <v>46117.740972222229</v>
      </c>
      <c r="E387" s="78" t="str">
        <f t="shared" si="74"/>
        <v>Group</v>
      </c>
      <c r="F387" s="78">
        <f t="shared" si="75"/>
        <v>3</v>
      </c>
      <c r="G387" s="78">
        <v>2</v>
      </c>
      <c r="H387" s="78" t="str">
        <f ca="1">IF(OR(S387="",T387=""),"",IFERROR(_xludf.XLOOKUP(S387,'Registrations'!#REF!,'Registrations'!#REF!,_xludf.XLOOKUP(S387,'Registrations'!$B$4:$B$211,'Registrations'!$E$4:$E$211,S387)),S387) &amp; " vs " &amp; IFERROR(_xludf.XLOOKUP(T387,'Registrations'!#REF!,'Registrations'!#REF!,_xludf.XLOOKUP(T387,'Registrations'!$B$4:$B$211,'Registrations'!$E$4:$E$211,T387)),T387))</f>
        <v>0 vs 0</v>
      </c>
      <c r="I387" s="78"/>
      <c r="J387" s="78"/>
      <c r="K387" s="78">
        <f>IF(Schedules[[#This Row],[Player 2]]="",Schedules[[#This Row],[Player 1]],Schedules[[#This Row],[Player 1]]&amp;" / "&amp;Schedules[[#This Row],[Player 2]])</f>
        <v>0</v>
      </c>
      <c r="L387" s="78">
        <v>15</v>
      </c>
      <c r="M387" s="78" t="str">
        <f t="shared" si="68"/>
        <v>WIN</v>
      </c>
      <c r="N387" s="78"/>
      <c r="O387" s="78"/>
      <c r="P387" s="78">
        <f>IF(Schedules[[#This Row],[Player 4]]="",Schedules[[#This Row],[Player 3]],Schedules[[#This Row],[Player 3]]&amp;" / "&amp;Schedules[[#This Row],[Player 4]])</f>
        <v>0</v>
      </c>
      <c r="Q387" s="78">
        <v>10</v>
      </c>
      <c r="R387" s="78" t="str">
        <f t="shared" si="69"/>
        <v>LOST</v>
      </c>
      <c r="S387" s="61">
        <f>Input!C92</f>
        <v>0</v>
      </c>
      <c r="T387" s="61">
        <f>Input!D92</f>
        <v>0</v>
      </c>
    </row>
    <row r="388" spans="1:20" hidden="1" x14ac:dyDescent="0.3">
      <c r="A388" s="109" t="s">
        <v>53</v>
      </c>
      <c r="B388" s="78" t="s">
        <v>67</v>
      </c>
      <c r="C388" s="79">
        <f>D387+TIME(0,3,0)</f>
        <v>46117.743055555562</v>
      </c>
      <c r="D388" s="79">
        <f>C388+TIME(0,10,0)</f>
        <v>46117.750000000007</v>
      </c>
      <c r="E388" s="78" t="str">
        <f t="shared" si="74"/>
        <v>Group</v>
      </c>
      <c r="F388" s="78">
        <f t="shared" si="75"/>
        <v>1</v>
      </c>
      <c r="G388" s="78">
        <v>1</v>
      </c>
      <c r="H388" s="78" t="str">
        <f ca="1">IF(OR(S388="",T388=""),"",IFERROR(_xludf.XLOOKUP(S388,'Registrations'!#REF!,'Registrations'!#REF!,_xludf.XLOOKUP(S388,'Registrations'!$B$4:$B$211,'Registrations'!$E$4:$E$211,S388)),S388) &amp; " vs " &amp; IFERROR(_xludf.XLOOKUP(T388,'Registrations'!#REF!,'Registrations'!#REF!,_xludf.XLOOKUP(T388,'Registrations'!$B$4:$B$211,'Registrations'!$E$4:$E$211,T388)),T388))</f>
        <v>Amandeep Saini / Alisha Bhise vs Nachiket Gogia / Purva Verma</v>
      </c>
      <c r="I388" s="78"/>
      <c r="J388" s="78"/>
      <c r="K388" s="78">
        <f>IF(Schedules[[#This Row],[Player 2]]="",Schedules[[#This Row],[Player 1]],Schedules[[#This Row],[Player 1]]&amp;" / "&amp;Schedules[[#This Row],[Player 2]])</f>
        <v>0</v>
      </c>
      <c r="L388" s="78">
        <v>15</v>
      </c>
      <c r="M388" s="78" t="str">
        <f t="shared" si="68"/>
        <v>WIN</v>
      </c>
      <c r="N388" s="78"/>
      <c r="O388" s="78"/>
      <c r="P388" s="78">
        <f>IF(Schedules[[#This Row],[Player 4]]="",Schedules[[#This Row],[Player 3]],Schedules[[#This Row],[Player 3]]&amp;" / "&amp;Schedules[[#This Row],[Player 4]])</f>
        <v>0</v>
      </c>
      <c r="Q388" s="78">
        <v>10</v>
      </c>
      <c r="R388" s="78" t="str">
        <f t="shared" si="69"/>
        <v>LOST</v>
      </c>
      <c r="S388" s="61" t="str">
        <f>Input!C91</f>
        <v>Amandeep Saini / Alisha Bhise</v>
      </c>
      <c r="T388" s="61" t="str">
        <f>Input!D91</f>
        <v>Nachiket Gogia / Purva Verma</v>
      </c>
    </row>
    <row r="389" spans="1:20" hidden="1" x14ac:dyDescent="0.3">
      <c r="A389" s="110" t="s">
        <v>53</v>
      </c>
      <c r="B389" s="76" t="s">
        <v>67</v>
      </c>
      <c r="C389" s="77">
        <f>C388</f>
        <v>46117.743055555562</v>
      </c>
      <c r="D389" s="77">
        <f>D388</f>
        <v>46117.750000000007</v>
      </c>
      <c r="E389" s="76" t="s">
        <v>432</v>
      </c>
      <c r="F389" s="76">
        <f t="shared" si="75"/>
        <v>2</v>
      </c>
      <c r="G389" s="76" t="s">
        <v>422</v>
      </c>
      <c r="H389" s="76" t="str">
        <f ca="1">IF(OR(S389="",T389=""),"",IFERROR(_xludf.XLOOKUP(S389,'Registrations'!#REF!,'Registrations'!#REF!,_xludf.XLOOKUP(S389,'Registrations'!$B$4:$B$211,'Registrations'!$E$4:$E$211,S389)),S389) &amp; " vs " &amp; IFERROR(_xludf.XLOOKUP(T389,'Registrations'!#REF!,'Registrations'!#REF!,_xludf.XLOOKUP(T389,'Registrations'!$B$4:$B$211,'Registrations'!$E$4:$E$211,T389)),T389))</f>
        <v>Sachin Verma / Hema Thakkar vs 0</v>
      </c>
      <c r="I389" s="76"/>
      <c r="J389" s="76"/>
      <c r="K389" s="76">
        <f>IF(Schedules[[#This Row],[Player 2]]="",Schedules[[#This Row],[Player 1]],Schedules[[#This Row],[Player 1]]&amp;" / "&amp;Schedules[[#This Row],[Player 2]])</f>
        <v>0</v>
      </c>
      <c r="L389" s="76">
        <v>15</v>
      </c>
      <c r="M389" s="76" t="str">
        <f t="shared" si="68"/>
        <v>WIN</v>
      </c>
      <c r="N389" s="76"/>
      <c r="O389" s="76"/>
      <c r="P389" s="76">
        <f>IF(Schedules[[#This Row],[Player 4]]="",Schedules[[#This Row],[Player 3]],Schedules[[#This Row],[Player 3]]&amp;" / "&amp;Schedules[[#This Row],[Player 4]])</f>
        <v>0</v>
      </c>
      <c r="Q389" s="76">
        <v>10</v>
      </c>
      <c r="R389" s="76" t="str">
        <f t="shared" si="69"/>
        <v>LOST</v>
      </c>
      <c r="S389" s="61" t="str">
        <f>Input!H91</f>
        <v>Sachin Verma / Hema Thakkar</v>
      </c>
      <c r="T389" s="61">
        <f>Input!I91</f>
        <v>0</v>
      </c>
    </row>
    <row r="390" spans="1:20" hidden="1" x14ac:dyDescent="0.3">
      <c r="A390" s="110" t="s">
        <v>53</v>
      </c>
      <c r="B390" s="76" t="s">
        <v>67</v>
      </c>
      <c r="C390" s="77">
        <f>C389</f>
        <v>46117.743055555562</v>
      </c>
      <c r="D390" s="77">
        <f>D389</f>
        <v>46117.750000000007</v>
      </c>
      <c r="E390" s="76" t="str">
        <f>E389</f>
        <v>Pre-Q</v>
      </c>
      <c r="F390" s="76">
        <f t="shared" si="75"/>
        <v>3</v>
      </c>
      <c r="G390" s="76" t="str">
        <f>G389</f>
        <v>1 vs 2</v>
      </c>
      <c r="H390" s="76" t="str">
        <f ca="1">IF(OR(S390="",T390=""),"",IFERROR(_xludf.XLOOKUP(S390,'Registrations'!#REF!,'Registrations'!#REF!,_xludf.XLOOKUP(S390,'Registrations'!$B$4:$B$211,'Registrations'!$E$4:$E$211,S390)),S390) &amp; " vs " &amp; IFERROR(_xludf.XLOOKUP(T390,'Registrations'!#REF!,'Registrations'!#REF!,_xludf.XLOOKUP(T390,'Registrations'!$B$4:$B$211,'Registrations'!$E$4:$E$211,T390)),T390))</f>
        <v>Nachiket Gogia / Purva Verma vs 0</v>
      </c>
      <c r="I390" s="76"/>
      <c r="J390" s="76"/>
      <c r="K390" s="76">
        <f>IF(Schedules[[#This Row],[Player 2]]="",Schedules[[#This Row],[Player 1]],Schedules[[#This Row],[Player 1]]&amp;" / "&amp;Schedules[[#This Row],[Player 2]])</f>
        <v>0</v>
      </c>
      <c r="L390" s="76">
        <v>15</v>
      </c>
      <c r="M390" s="76" t="str">
        <f t="shared" si="68"/>
        <v>WIN</v>
      </c>
      <c r="N390" s="76"/>
      <c r="O390" s="76"/>
      <c r="P390" s="76">
        <f>IF(Schedules[[#This Row],[Player 4]]="",Schedules[[#This Row],[Player 3]],Schedules[[#This Row],[Player 3]]&amp;" / "&amp;Schedules[[#This Row],[Player 4]])</f>
        <v>0</v>
      </c>
      <c r="Q390" s="76">
        <v>10</v>
      </c>
      <c r="R390" s="76" t="str">
        <f t="shared" si="69"/>
        <v>LOST</v>
      </c>
      <c r="S390" s="61" t="str">
        <f>Input!H92</f>
        <v>Nachiket Gogia / Purva Verma</v>
      </c>
      <c r="T390" s="61">
        <f>Input!I92</f>
        <v>0</v>
      </c>
    </row>
    <row r="391" spans="1:20" hidden="1" x14ac:dyDescent="0.3">
      <c r="A391" s="109" t="s">
        <v>53</v>
      </c>
      <c r="B391" s="78" t="s">
        <v>67</v>
      </c>
      <c r="C391" s="79">
        <f>D390+TIME(0,3,0)</f>
        <v>46117.75208333334</v>
      </c>
      <c r="D391" s="79">
        <f>C391+TIME(0,10,0)</f>
        <v>46117.759027777785</v>
      </c>
      <c r="E391" s="78" t="s">
        <v>433</v>
      </c>
      <c r="F391" s="78">
        <f t="shared" si="75"/>
        <v>1</v>
      </c>
      <c r="G391" s="78">
        <v>3</v>
      </c>
      <c r="H391" s="78" t="str">
        <f ca="1">IF(OR(S391="",T391=""),"",IFERROR(_xludf.XLOOKUP(S391,'Registrations'!#REF!,'Registrations'!#REF!,_xludf.XLOOKUP(S391,'Registrations'!$B$4:$B$211,'Registrations'!$E$4:$E$211,S391)),S391) &amp; " vs " &amp; IFERROR(_xludf.XLOOKUP(T391,'Registrations'!#REF!,'Registrations'!#REF!,_xludf.XLOOKUP(T391,'Registrations'!$B$4:$B$211,'Registrations'!$E$4:$E$211,T391)),T391))</f>
        <v>0 vs 0</v>
      </c>
      <c r="I391" s="78"/>
      <c r="J391" s="78"/>
      <c r="K391" s="78">
        <f>IF(Schedules[[#This Row],[Player 2]]="",Schedules[[#This Row],[Player 1]],Schedules[[#This Row],[Player 1]]&amp;" / "&amp;Schedules[[#This Row],[Player 2]])</f>
        <v>0</v>
      </c>
      <c r="L391" s="78">
        <v>15</v>
      </c>
      <c r="M391" s="78" t="str">
        <f t="shared" si="68"/>
        <v>WIN</v>
      </c>
      <c r="N391" s="78"/>
      <c r="O391" s="78"/>
      <c r="P391" s="78">
        <f>IF(Schedules[[#This Row],[Player 4]]="",Schedules[[#This Row],[Player 3]],Schedules[[#This Row],[Player 3]]&amp;" / "&amp;Schedules[[#This Row],[Player 4]])</f>
        <v>0</v>
      </c>
      <c r="Q391" s="78">
        <v>10</v>
      </c>
      <c r="R391" s="78" t="str">
        <f t="shared" si="69"/>
        <v>LOST</v>
      </c>
      <c r="S391" s="61">
        <f>Input!B93</f>
        <v>0</v>
      </c>
      <c r="T391" s="61">
        <f>Input!C93</f>
        <v>0</v>
      </c>
    </row>
    <row r="392" spans="1:20" hidden="1" x14ac:dyDescent="0.3">
      <c r="A392" s="109" t="s">
        <v>53</v>
      </c>
      <c r="B392" s="78" t="s">
        <v>67</v>
      </c>
      <c r="C392" s="79">
        <f t="shared" ref="C392:E393" si="76">C391</f>
        <v>46117.75208333334</v>
      </c>
      <c r="D392" s="79">
        <f t="shared" si="76"/>
        <v>46117.759027777785</v>
      </c>
      <c r="E392" s="78" t="str">
        <f t="shared" si="76"/>
        <v>Group</v>
      </c>
      <c r="F392" s="78">
        <f t="shared" si="75"/>
        <v>2</v>
      </c>
      <c r="G392" s="78">
        <v>3</v>
      </c>
      <c r="H392" s="78" t="str">
        <f ca="1">IF(OR(S392="",T392=""),"",IFERROR(_xludf.XLOOKUP(S392,'Registrations'!#REF!,'Registrations'!#REF!,_xludf.XLOOKUP(S392,'Registrations'!$B$4:$B$211,'Registrations'!$E$4:$E$211,S392)),S392) &amp; " vs " &amp; IFERROR(_xludf.XLOOKUP(T392,'Registrations'!#REF!,'Registrations'!#REF!,_xludf.XLOOKUP(T392,'Registrations'!$B$4:$B$211,'Registrations'!$E$4:$E$211,T392)),T392))</f>
        <v>0 vs 0</v>
      </c>
      <c r="I392" s="78"/>
      <c r="J392" s="78"/>
      <c r="K392" s="78">
        <f>IF(Schedules[[#This Row],[Player 2]]="",Schedules[[#This Row],[Player 1]],Schedules[[#This Row],[Player 1]]&amp;" / "&amp;Schedules[[#This Row],[Player 2]])</f>
        <v>0</v>
      </c>
      <c r="L392" s="78">
        <v>15</v>
      </c>
      <c r="M392" s="78" t="str">
        <f t="shared" si="68"/>
        <v>WIN</v>
      </c>
      <c r="N392" s="78"/>
      <c r="O392" s="78"/>
      <c r="P392" s="78">
        <f>IF(Schedules[[#This Row],[Player 4]]="",Schedules[[#This Row],[Player 3]],Schedules[[#This Row],[Player 3]]&amp;" / "&amp;Schedules[[#This Row],[Player 4]])</f>
        <v>0</v>
      </c>
      <c r="Q392" s="78">
        <v>10</v>
      </c>
      <c r="R392" s="78" t="str">
        <f t="shared" si="69"/>
        <v>LOST</v>
      </c>
      <c r="S392" s="61">
        <f>Input!D93</f>
        <v>0</v>
      </c>
      <c r="T392" s="61">
        <f>Input!E93</f>
        <v>0</v>
      </c>
    </row>
    <row r="393" spans="1:20" hidden="1" x14ac:dyDescent="0.3">
      <c r="A393" s="109" t="s">
        <v>53</v>
      </c>
      <c r="B393" s="78" t="s">
        <v>67</v>
      </c>
      <c r="C393" s="79">
        <f t="shared" si="76"/>
        <v>46117.75208333334</v>
      </c>
      <c r="D393" s="79">
        <f t="shared" si="76"/>
        <v>46117.759027777785</v>
      </c>
      <c r="E393" s="78" t="str">
        <f t="shared" si="76"/>
        <v>Group</v>
      </c>
      <c r="F393" s="78">
        <f t="shared" si="75"/>
        <v>3</v>
      </c>
      <c r="G393" s="78">
        <v>4</v>
      </c>
      <c r="H393" s="78" t="str">
        <f ca="1">IF(OR(S393="",T393=""),"",IFERROR(_xludf.XLOOKUP(S393,'Registrations'!#REF!,'Registrations'!#REF!,_xludf.XLOOKUP(S393,'Registrations'!$B$4:$B$211,'Registrations'!$E$4:$E$211,S393)),S393) &amp; " vs " &amp; IFERROR(_xludf.XLOOKUP(T393,'Registrations'!#REF!,'Registrations'!#REF!,_xludf.XLOOKUP(T393,'Registrations'!$B$4:$B$211,'Registrations'!$E$4:$E$211,T393)),T393))</f>
        <v>0 vs 0</v>
      </c>
      <c r="I393" s="78"/>
      <c r="J393" s="78"/>
      <c r="K393" s="78">
        <f>IF(Schedules[[#This Row],[Player 2]]="",Schedules[[#This Row],[Player 1]],Schedules[[#This Row],[Player 1]]&amp;" / "&amp;Schedules[[#This Row],[Player 2]])</f>
        <v>0</v>
      </c>
      <c r="L393" s="78">
        <v>15</v>
      </c>
      <c r="M393" s="78" t="str">
        <f t="shared" si="68"/>
        <v>WIN</v>
      </c>
      <c r="N393" s="78"/>
      <c r="O393" s="78"/>
      <c r="P393" s="78">
        <f>IF(Schedules[[#This Row],[Player 4]]="",Schedules[[#This Row],[Player 3]],Schedules[[#This Row],[Player 3]]&amp;" / "&amp;Schedules[[#This Row],[Player 4]])</f>
        <v>0</v>
      </c>
      <c r="Q393" s="78">
        <v>10</v>
      </c>
      <c r="R393" s="78" t="str">
        <f t="shared" si="69"/>
        <v>LOST</v>
      </c>
      <c r="S393" s="61">
        <f>Input!B94</f>
        <v>0</v>
      </c>
      <c r="T393" s="61">
        <f>Input!C94</f>
        <v>0</v>
      </c>
    </row>
    <row r="394" spans="1:20" hidden="1" x14ac:dyDescent="0.3">
      <c r="A394" s="109" t="s">
        <v>53</v>
      </c>
      <c r="B394" s="78" t="s">
        <v>67</v>
      </c>
      <c r="C394" s="79">
        <f>D393+TIME(0,3,0)</f>
        <v>46117.761111111118</v>
      </c>
      <c r="D394" s="79">
        <f>C394+TIME(0,10,0)</f>
        <v>46117.768055555563</v>
      </c>
      <c r="E394" s="78" t="str">
        <f t="shared" ref="E394:E402" si="77">E393</f>
        <v>Group</v>
      </c>
      <c r="F394" s="78">
        <f t="shared" si="75"/>
        <v>1</v>
      </c>
      <c r="G394" s="78">
        <v>3</v>
      </c>
      <c r="H394" s="78" t="str">
        <f ca="1">IF(OR(S394="",T394=""),"",IFERROR(_xludf.XLOOKUP(S394,'Registrations'!#REF!,'Registrations'!#REF!,_xludf.XLOOKUP(S394,'Registrations'!$B$4:$B$211,'Registrations'!$E$4:$E$211,S394)),S394) &amp; " vs " &amp; IFERROR(_xludf.XLOOKUP(T394,'Registrations'!#REF!,'Registrations'!#REF!,_xludf.XLOOKUP(T394,'Registrations'!$B$4:$B$211,'Registrations'!$E$4:$E$211,T394)),T394))</f>
        <v>0 vs 0</v>
      </c>
      <c r="I394" s="78"/>
      <c r="J394" s="78"/>
      <c r="K394" s="78">
        <f>IF(Schedules[[#This Row],[Player 2]]="",Schedules[[#This Row],[Player 1]],Schedules[[#This Row],[Player 1]]&amp;" / "&amp;Schedules[[#This Row],[Player 2]])</f>
        <v>0</v>
      </c>
      <c r="L394" s="78">
        <v>15</v>
      </c>
      <c r="M394" s="78" t="str">
        <f t="shared" si="68"/>
        <v>WIN</v>
      </c>
      <c r="N394" s="78"/>
      <c r="O394" s="78"/>
      <c r="P394" s="78">
        <f>IF(Schedules[[#This Row],[Player 4]]="",Schedules[[#This Row],[Player 3]],Schedules[[#This Row],[Player 3]]&amp;" / "&amp;Schedules[[#This Row],[Player 4]])</f>
        <v>0</v>
      </c>
      <c r="Q394" s="78">
        <v>10</v>
      </c>
      <c r="R394" s="78" t="str">
        <f t="shared" si="69"/>
        <v>LOST</v>
      </c>
      <c r="S394" s="61">
        <f>Input!B93</f>
        <v>0</v>
      </c>
      <c r="T394" s="61">
        <f>Input!D93</f>
        <v>0</v>
      </c>
    </row>
    <row r="395" spans="1:20" hidden="1" x14ac:dyDescent="0.3">
      <c r="A395" s="109" t="s">
        <v>53</v>
      </c>
      <c r="B395" s="78" t="s">
        <v>67</v>
      </c>
      <c r="C395" s="79">
        <f>C394</f>
        <v>46117.761111111118</v>
      </c>
      <c r="D395" s="79">
        <f>D394</f>
        <v>46117.768055555563</v>
      </c>
      <c r="E395" s="78" t="str">
        <f t="shared" si="77"/>
        <v>Group</v>
      </c>
      <c r="F395" s="78">
        <f t="shared" si="75"/>
        <v>2</v>
      </c>
      <c r="G395" s="78">
        <v>3</v>
      </c>
      <c r="H395" s="78" t="str">
        <f ca="1">IF(OR(S395="",T395=""),"",IFERROR(_xludf.XLOOKUP(S395,'Registrations'!#REF!,'Registrations'!#REF!,_xludf.XLOOKUP(S395,'Registrations'!$B$4:$B$211,'Registrations'!$E$4:$E$211,S395)),S395) &amp; " vs " &amp; IFERROR(_xludf.XLOOKUP(T395,'Registrations'!#REF!,'Registrations'!#REF!,_xludf.XLOOKUP(T395,'Registrations'!$B$4:$B$211,'Registrations'!$E$4:$E$211,T395)),T395))</f>
        <v>0 vs 0</v>
      </c>
      <c r="I395" s="78"/>
      <c r="J395" s="78"/>
      <c r="K395" s="78">
        <f>IF(Schedules[[#This Row],[Player 2]]="",Schedules[[#This Row],[Player 1]],Schedules[[#This Row],[Player 1]]&amp;" / "&amp;Schedules[[#This Row],[Player 2]])</f>
        <v>0</v>
      </c>
      <c r="L395" s="78">
        <v>15</v>
      </c>
      <c r="M395" s="78" t="str">
        <f t="shared" si="68"/>
        <v>WIN</v>
      </c>
      <c r="N395" s="78"/>
      <c r="O395" s="78"/>
      <c r="P395" s="78">
        <f>IF(Schedules[[#This Row],[Player 4]]="",Schedules[[#This Row],[Player 3]],Schedules[[#This Row],[Player 3]]&amp;" / "&amp;Schedules[[#This Row],[Player 4]])</f>
        <v>0</v>
      </c>
      <c r="Q395" s="78">
        <v>10</v>
      </c>
      <c r="R395" s="78" t="str">
        <f t="shared" si="69"/>
        <v>LOST</v>
      </c>
      <c r="S395" s="61">
        <f>Input!C93</f>
        <v>0</v>
      </c>
      <c r="T395" s="61">
        <f>Input!E93</f>
        <v>0</v>
      </c>
    </row>
    <row r="396" spans="1:20" hidden="1" x14ac:dyDescent="0.3">
      <c r="A396" s="109" t="s">
        <v>53</v>
      </c>
      <c r="B396" s="78" t="s">
        <v>67</v>
      </c>
      <c r="C396" s="79">
        <f>C395</f>
        <v>46117.761111111118</v>
      </c>
      <c r="D396" s="79">
        <f>D395</f>
        <v>46117.768055555563</v>
      </c>
      <c r="E396" s="78" t="str">
        <f t="shared" si="77"/>
        <v>Group</v>
      </c>
      <c r="F396" s="78">
        <f t="shared" si="75"/>
        <v>3</v>
      </c>
      <c r="G396" s="78">
        <v>4</v>
      </c>
      <c r="H396" s="78" t="str">
        <f ca="1">IF(OR(S396="",T396=""),"",IFERROR(_xludf.XLOOKUP(S396,'Registrations'!#REF!,'Registrations'!#REF!,_xludf.XLOOKUP(S396,'Registrations'!$B$4:$B$211,'Registrations'!$E$4:$E$211,S396)),S396) &amp; " vs " &amp; IFERROR(_xludf.XLOOKUP(T396,'Registrations'!#REF!,'Registrations'!#REF!,_xludf.XLOOKUP(T396,'Registrations'!$B$4:$B$211,'Registrations'!$E$4:$E$211,T396)),T396))</f>
        <v>0 vs 0</v>
      </c>
      <c r="I396" s="78"/>
      <c r="J396" s="78"/>
      <c r="K396" s="78">
        <f>IF(Schedules[[#This Row],[Player 2]]="",Schedules[[#This Row],[Player 1]],Schedules[[#This Row],[Player 1]]&amp;" / "&amp;Schedules[[#This Row],[Player 2]])</f>
        <v>0</v>
      </c>
      <c r="L396" s="78">
        <v>15</v>
      </c>
      <c r="M396" s="78" t="str">
        <f t="shared" ref="M396:M427" si="78">IF(L396=15,"WIN","LOST")</f>
        <v>WIN</v>
      </c>
      <c r="N396" s="78"/>
      <c r="O396" s="78"/>
      <c r="P396" s="78">
        <f>IF(Schedules[[#This Row],[Player 4]]="",Schedules[[#This Row],[Player 3]],Schedules[[#This Row],[Player 3]]&amp;" / "&amp;Schedules[[#This Row],[Player 4]])</f>
        <v>0</v>
      </c>
      <c r="Q396" s="78">
        <v>10</v>
      </c>
      <c r="R396" s="78" t="str">
        <f t="shared" ref="R396:R427" si="79">IF(Q396=15,"WIN","LOST")</f>
        <v>LOST</v>
      </c>
      <c r="S396" s="61">
        <f>Input!D94</f>
        <v>0</v>
      </c>
      <c r="T396" s="61">
        <f>Input!E94</f>
        <v>0</v>
      </c>
    </row>
    <row r="397" spans="1:20" hidden="1" x14ac:dyDescent="0.3">
      <c r="A397" s="109" t="s">
        <v>53</v>
      </c>
      <c r="B397" s="78" t="s">
        <v>67</v>
      </c>
      <c r="C397" s="79">
        <f>D396+TIME(0,3,0)</f>
        <v>46117.770138888896</v>
      </c>
      <c r="D397" s="79">
        <f>C397+TIME(0,10,0)</f>
        <v>46117.777083333342</v>
      </c>
      <c r="E397" s="78" t="str">
        <f t="shared" si="77"/>
        <v>Group</v>
      </c>
      <c r="F397" s="78">
        <f t="shared" si="75"/>
        <v>1</v>
      </c>
      <c r="G397" s="78">
        <v>4</v>
      </c>
      <c r="H397" s="78" t="str">
        <f ca="1">IF(OR(S397="",T397=""),"",IFERROR(_xludf.XLOOKUP(S397,'Registrations'!#REF!,'Registrations'!#REF!,_xludf.XLOOKUP(S397,'Registrations'!$B$4:$B$211,'Registrations'!$E$4:$E$211,S397)),S397) &amp; " vs " &amp; IFERROR(_xludf.XLOOKUP(T397,'Registrations'!#REF!,'Registrations'!#REF!,_xludf.XLOOKUP(T397,'Registrations'!$B$4:$B$211,'Registrations'!$E$4:$E$211,T397)),T397))</f>
        <v>0 vs 0</v>
      </c>
      <c r="I397" s="78"/>
      <c r="J397" s="78"/>
      <c r="K397" s="78">
        <f>IF(Schedules[[#This Row],[Player 2]]="",Schedules[[#This Row],[Player 1]],Schedules[[#This Row],[Player 1]]&amp;" / "&amp;Schedules[[#This Row],[Player 2]])</f>
        <v>0</v>
      </c>
      <c r="L397" s="78">
        <v>15</v>
      </c>
      <c r="M397" s="78" t="str">
        <f t="shared" si="78"/>
        <v>WIN</v>
      </c>
      <c r="N397" s="78"/>
      <c r="O397" s="78"/>
      <c r="P397" s="78">
        <f>IF(Schedules[[#This Row],[Player 4]]="",Schedules[[#This Row],[Player 3]],Schedules[[#This Row],[Player 3]]&amp;" / "&amp;Schedules[[#This Row],[Player 4]])</f>
        <v>0</v>
      </c>
      <c r="Q397" s="78">
        <v>10</v>
      </c>
      <c r="R397" s="78" t="str">
        <f t="shared" si="79"/>
        <v>LOST</v>
      </c>
      <c r="S397" s="61">
        <f>Input!B94</f>
        <v>0</v>
      </c>
      <c r="T397" s="61">
        <f>Input!D94</f>
        <v>0</v>
      </c>
    </row>
    <row r="398" spans="1:20" hidden="1" x14ac:dyDescent="0.3">
      <c r="A398" s="109" t="s">
        <v>53</v>
      </c>
      <c r="B398" s="78" t="s">
        <v>67</v>
      </c>
      <c r="C398" s="79">
        <f>C397</f>
        <v>46117.770138888896</v>
      </c>
      <c r="D398" s="79">
        <f>D397</f>
        <v>46117.777083333342</v>
      </c>
      <c r="E398" s="78" t="str">
        <f t="shared" si="77"/>
        <v>Group</v>
      </c>
      <c r="F398" s="78">
        <f t="shared" si="75"/>
        <v>2</v>
      </c>
      <c r="G398" s="78">
        <v>4</v>
      </c>
      <c r="H398" s="78" t="str">
        <f ca="1">IF(OR(S398="",T398=""),"",IFERROR(_xludf.XLOOKUP(S398,'Registrations'!#REF!,'Registrations'!#REF!,_xludf.XLOOKUP(S398,'Registrations'!$B$4:$B$211,'Registrations'!$E$4:$E$211,S398)),S398) &amp; " vs " &amp; IFERROR(_xludf.XLOOKUP(T398,'Registrations'!#REF!,'Registrations'!#REF!,_xludf.XLOOKUP(T398,'Registrations'!$B$4:$B$211,'Registrations'!$E$4:$E$211,T398)),T398))</f>
        <v>0 vs 0</v>
      </c>
      <c r="I398" s="78"/>
      <c r="J398" s="78"/>
      <c r="K398" s="78">
        <f>IF(Schedules[[#This Row],[Player 2]]="",Schedules[[#This Row],[Player 1]],Schedules[[#This Row],[Player 1]]&amp;" / "&amp;Schedules[[#This Row],[Player 2]])</f>
        <v>0</v>
      </c>
      <c r="L398" s="78">
        <v>15</v>
      </c>
      <c r="M398" s="78" t="str">
        <f t="shared" si="78"/>
        <v>WIN</v>
      </c>
      <c r="N398" s="78"/>
      <c r="O398" s="78"/>
      <c r="P398" s="78">
        <f>IF(Schedules[[#This Row],[Player 4]]="",Schedules[[#This Row],[Player 3]],Schedules[[#This Row],[Player 3]]&amp;" / "&amp;Schedules[[#This Row],[Player 4]])</f>
        <v>0</v>
      </c>
      <c r="Q398" s="78">
        <v>10</v>
      </c>
      <c r="R398" s="78" t="str">
        <f t="shared" si="79"/>
        <v>LOST</v>
      </c>
      <c r="S398" s="61">
        <f>Input!C94</f>
        <v>0</v>
      </c>
      <c r="T398" s="61">
        <f>Input!E94</f>
        <v>0</v>
      </c>
    </row>
    <row r="399" spans="1:20" hidden="1" x14ac:dyDescent="0.3">
      <c r="A399" s="109" t="s">
        <v>53</v>
      </c>
      <c r="B399" s="78" t="s">
        <v>67</v>
      </c>
      <c r="C399" s="79">
        <f>C398</f>
        <v>46117.770138888896</v>
      </c>
      <c r="D399" s="79">
        <f>D398</f>
        <v>46117.777083333342</v>
      </c>
      <c r="E399" s="78" t="str">
        <f t="shared" si="77"/>
        <v>Group</v>
      </c>
      <c r="F399" s="78">
        <f t="shared" si="75"/>
        <v>3</v>
      </c>
      <c r="G399" s="78">
        <v>3</v>
      </c>
      <c r="H399" s="78" t="str">
        <f ca="1">IF(OR(S399="",T399=""),"",IFERROR(_xludf.XLOOKUP(S399,'Registrations'!#REF!,'Registrations'!#REF!,_xludf.XLOOKUP(S399,'Registrations'!$B$4:$B$211,'Registrations'!$E$4:$E$211,S399)),S399) &amp; " vs " &amp; IFERROR(_xludf.XLOOKUP(T399,'Registrations'!#REF!,'Registrations'!#REF!,_xludf.XLOOKUP(T399,'Registrations'!$B$4:$B$211,'Registrations'!$E$4:$E$211,T399)),T399))</f>
        <v>0 vs 0</v>
      </c>
      <c r="I399" s="78"/>
      <c r="J399" s="78"/>
      <c r="K399" s="78">
        <f>IF(Schedules[[#This Row],[Player 2]]="",Schedules[[#This Row],[Player 1]],Schedules[[#This Row],[Player 1]]&amp;" / "&amp;Schedules[[#This Row],[Player 2]])</f>
        <v>0</v>
      </c>
      <c r="L399" s="78">
        <v>15</v>
      </c>
      <c r="M399" s="78" t="str">
        <f t="shared" si="78"/>
        <v>WIN</v>
      </c>
      <c r="N399" s="78"/>
      <c r="O399" s="78"/>
      <c r="P399" s="78">
        <f>IF(Schedules[[#This Row],[Player 4]]="",Schedules[[#This Row],[Player 3]],Schedules[[#This Row],[Player 3]]&amp;" / "&amp;Schedules[[#This Row],[Player 4]])</f>
        <v>0</v>
      </c>
      <c r="Q399" s="78">
        <v>10</v>
      </c>
      <c r="R399" s="78" t="str">
        <f t="shared" si="79"/>
        <v>LOST</v>
      </c>
      <c r="S399" s="61">
        <f>Input!B93</f>
        <v>0</v>
      </c>
      <c r="T399" s="61">
        <f>Input!E93</f>
        <v>0</v>
      </c>
    </row>
    <row r="400" spans="1:20" hidden="1" x14ac:dyDescent="0.3">
      <c r="A400" s="109" t="s">
        <v>53</v>
      </c>
      <c r="B400" s="78" t="s">
        <v>67</v>
      </c>
      <c r="C400" s="79">
        <f>D399+TIME(0,3,0)</f>
        <v>46117.779166666674</v>
      </c>
      <c r="D400" s="79">
        <f>C400+TIME(0,10,0)</f>
        <v>46117.78611111112</v>
      </c>
      <c r="E400" s="78" t="str">
        <f t="shared" si="77"/>
        <v>Group</v>
      </c>
      <c r="F400" s="78">
        <f t="shared" si="75"/>
        <v>1</v>
      </c>
      <c r="G400" s="78">
        <v>4</v>
      </c>
      <c r="H400" s="78" t="str">
        <f ca="1">IF(OR(S400="",T400=""),"",IFERROR(_xludf.XLOOKUP(S400,'Registrations'!#REF!,'Registrations'!#REF!,_xludf.XLOOKUP(S400,'Registrations'!$B$4:$B$211,'Registrations'!$E$4:$E$211,S400)),S400) &amp; " vs " &amp; IFERROR(_xludf.XLOOKUP(T400,'Registrations'!#REF!,'Registrations'!#REF!,_xludf.XLOOKUP(T400,'Registrations'!$B$4:$B$211,'Registrations'!$E$4:$E$211,T400)),T400))</f>
        <v>0 vs 0</v>
      </c>
      <c r="I400" s="78"/>
      <c r="J400" s="78"/>
      <c r="K400" s="78">
        <f>IF(Schedules[[#This Row],[Player 2]]="",Schedules[[#This Row],[Player 1]],Schedules[[#This Row],[Player 1]]&amp;" / "&amp;Schedules[[#This Row],[Player 2]])</f>
        <v>0</v>
      </c>
      <c r="L400" s="78">
        <v>15</v>
      </c>
      <c r="M400" s="78" t="str">
        <f t="shared" si="78"/>
        <v>WIN</v>
      </c>
      <c r="N400" s="78"/>
      <c r="O400" s="78"/>
      <c r="P400" s="78">
        <f>IF(Schedules[[#This Row],[Player 4]]="",Schedules[[#This Row],[Player 3]],Schedules[[#This Row],[Player 3]]&amp;" / "&amp;Schedules[[#This Row],[Player 4]])</f>
        <v>0</v>
      </c>
      <c r="Q400" s="78">
        <v>10</v>
      </c>
      <c r="R400" s="78" t="str">
        <f t="shared" si="79"/>
        <v>LOST</v>
      </c>
      <c r="S400" s="61">
        <f>Input!B94</f>
        <v>0</v>
      </c>
      <c r="T400" s="61">
        <f>Input!E94</f>
        <v>0</v>
      </c>
    </row>
    <row r="401" spans="1:20" hidden="1" x14ac:dyDescent="0.3">
      <c r="A401" s="109" t="s">
        <v>53</v>
      </c>
      <c r="B401" s="78" t="s">
        <v>67</v>
      </c>
      <c r="C401" s="79">
        <f>C400</f>
        <v>46117.779166666674</v>
      </c>
      <c r="D401" s="79">
        <f>D400</f>
        <v>46117.78611111112</v>
      </c>
      <c r="E401" s="78" t="str">
        <f t="shared" si="77"/>
        <v>Group</v>
      </c>
      <c r="F401" s="78">
        <f t="shared" si="75"/>
        <v>2</v>
      </c>
      <c r="G401" s="78">
        <v>4</v>
      </c>
      <c r="H401" s="78" t="str">
        <f ca="1">IF(OR(S401="",T401=""),"",IFERROR(_xludf.XLOOKUP(S401,'Registrations'!#REF!,'Registrations'!#REF!,_xludf.XLOOKUP(S401,'Registrations'!$B$4:$B$211,'Registrations'!$E$4:$E$211,S401)),S401) &amp; " vs " &amp; IFERROR(_xludf.XLOOKUP(T401,'Registrations'!#REF!,'Registrations'!#REF!,_xludf.XLOOKUP(T401,'Registrations'!$B$4:$B$211,'Registrations'!$E$4:$E$211,T401)),T401))</f>
        <v>0 vs 0</v>
      </c>
      <c r="I401" s="78"/>
      <c r="J401" s="78"/>
      <c r="K401" s="78">
        <f>IF(Schedules[[#This Row],[Player 2]]="",Schedules[[#This Row],[Player 1]],Schedules[[#This Row],[Player 1]]&amp;" / "&amp;Schedules[[#This Row],[Player 2]])</f>
        <v>0</v>
      </c>
      <c r="L401" s="78">
        <v>15</v>
      </c>
      <c r="M401" s="78" t="str">
        <f t="shared" si="78"/>
        <v>WIN</v>
      </c>
      <c r="N401" s="78"/>
      <c r="O401" s="78"/>
      <c r="P401" s="78">
        <f>IF(Schedules[[#This Row],[Player 4]]="",Schedules[[#This Row],[Player 3]],Schedules[[#This Row],[Player 3]]&amp;" / "&amp;Schedules[[#This Row],[Player 4]])</f>
        <v>0</v>
      </c>
      <c r="Q401" s="78">
        <v>10</v>
      </c>
      <c r="R401" s="78" t="str">
        <f t="shared" si="79"/>
        <v>LOST</v>
      </c>
      <c r="S401" s="61">
        <f>Input!C94</f>
        <v>0</v>
      </c>
      <c r="T401" s="61">
        <f>Input!D94</f>
        <v>0</v>
      </c>
    </row>
    <row r="402" spans="1:20" hidden="1" x14ac:dyDescent="0.3">
      <c r="A402" s="109" t="s">
        <v>53</v>
      </c>
      <c r="B402" s="78" t="s">
        <v>67</v>
      </c>
      <c r="C402" s="79">
        <f>C401</f>
        <v>46117.779166666674</v>
      </c>
      <c r="D402" s="79">
        <f>D401</f>
        <v>46117.78611111112</v>
      </c>
      <c r="E402" s="78" t="str">
        <f t="shared" si="77"/>
        <v>Group</v>
      </c>
      <c r="F402" s="78">
        <f t="shared" si="75"/>
        <v>3</v>
      </c>
      <c r="G402" s="78">
        <v>3</v>
      </c>
      <c r="H402" s="78" t="str">
        <f ca="1">IF(OR(S402="",T402=""),"",IFERROR(_xludf.XLOOKUP(S402,'Registrations'!#REF!,'Registrations'!#REF!,_xludf.XLOOKUP(S402,'Registrations'!$B$4:$B$211,'Registrations'!$E$4:$E$211,S402)),S402) &amp; " vs " &amp; IFERROR(_xludf.XLOOKUP(T402,'Registrations'!#REF!,'Registrations'!#REF!,_xludf.XLOOKUP(T402,'Registrations'!$B$4:$B$211,'Registrations'!$E$4:$E$211,T402)),T402))</f>
        <v>0 vs 0</v>
      </c>
      <c r="I402" s="78"/>
      <c r="J402" s="78"/>
      <c r="K402" s="78">
        <f>IF(Schedules[[#This Row],[Player 2]]="",Schedules[[#This Row],[Player 1]],Schedules[[#This Row],[Player 1]]&amp;" / "&amp;Schedules[[#This Row],[Player 2]])</f>
        <v>0</v>
      </c>
      <c r="L402" s="78">
        <v>15</v>
      </c>
      <c r="M402" s="78" t="str">
        <f t="shared" si="78"/>
        <v>WIN</v>
      </c>
      <c r="N402" s="78"/>
      <c r="O402" s="78"/>
      <c r="P402" s="78">
        <f>IF(Schedules[[#This Row],[Player 4]]="",Schedules[[#This Row],[Player 3]],Schedules[[#This Row],[Player 3]]&amp;" / "&amp;Schedules[[#This Row],[Player 4]])</f>
        <v>0</v>
      </c>
      <c r="Q402" s="78">
        <v>10</v>
      </c>
      <c r="R402" s="78" t="str">
        <f t="shared" si="79"/>
        <v>LOST</v>
      </c>
      <c r="S402" s="61">
        <f>Input!C93</f>
        <v>0</v>
      </c>
      <c r="T402" s="61">
        <f>Input!D93</f>
        <v>0</v>
      </c>
    </row>
    <row r="403" spans="1:20" hidden="1" x14ac:dyDescent="0.3">
      <c r="A403" s="110" t="s">
        <v>53</v>
      </c>
      <c r="B403" s="76" t="s">
        <v>67</v>
      </c>
      <c r="C403" s="77">
        <f>D402+TIME(0,3,0)</f>
        <v>46117.788194444453</v>
      </c>
      <c r="D403" s="77">
        <f>C403+TIME(0,10,0)</f>
        <v>46117.795138888898</v>
      </c>
      <c r="E403" s="76" t="s">
        <v>432</v>
      </c>
      <c r="F403" s="76">
        <f t="shared" si="75"/>
        <v>1</v>
      </c>
      <c r="G403" s="76" t="s">
        <v>430</v>
      </c>
      <c r="H403" s="76" t="str">
        <f ca="1">IF(OR(S403="",T403=""),"",IFERROR(_xludf.XLOOKUP(S403,'Registrations'!#REF!,'Registrations'!#REF!,_xludf.XLOOKUP(S403,'Registrations'!$B$4:$B$211,'Registrations'!$E$4:$E$211,S403)),S403) &amp; " vs " &amp; IFERROR(_xludf.XLOOKUP(T403,'Registrations'!#REF!,'Registrations'!#REF!,_xludf.XLOOKUP(T403,'Registrations'!$B$4:$B$211,'Registrations'!$E$4:$E$211,T403)),T403))</f>
        <v>0 vs 0</v>
      </c>
      <c r="I403" s="76"/>
      <c r="J403" s="76"/>
      <c r="K403" s="76">
        <f>IF(Schedules[[#This Row],[Player 2]]="",Schedules[[#This Row],[Player 1]],Schedules[[#This Row],[Player 1]]&amp;" / "&amp;Schedules[[#This Row],[Player 2]])</f>
        <v>0</v>
      </c>
      <c r="L403" s="76">
        <v>15</v>
      </c>
      <c r="M403" s="76" t="str">
        <f t="shared" si="78"/>
        <v>WIN</v>
      </c>
      <c r="N403" s="76"/>
      <c r="O403" s="76"/>
      <c r="P403" s="76">
        <f>IF(Schedules[[#This Row],[Player 4]]="",Schedules[[#This Row],[Player 3]],Schedules[[#This Row],[Player 3]]&amp;" / "&amp;Schedules[[#This Row],[Player 4]])</f>
        <v>0</v>
      </c>
      <c r="Q403" s="76">
        <v>10</v>
      </c>
      <c r="R403" s="76" t="str">
        <f t="shared" si="79"/>
        <v>LOST</v>
      </c>
      <c r="S403" s="61">
        <f>Input!H93</f>
        <v>0</v>
      </c>
      <c r="T403" s="61">
        <f>Input!I93</f>
        <v>0</v>
      </c>
    </row>
    <row r="404" spans="1:20" hidden="1" x14ac:dyDescent="0.3">
      <c r="A404" s="110" t="s">
        <v>53</v>
      </c>
      <c r="B404" s="76" t="s">
        <v>67</v>
      </c>
      <c r="C404" s="77">
        <f>C403</f>
        <v>46117.788194444453</v>
      </c>
      <c r="D404" s="77">
        <f>D403</f>
        <v>46117.795138888898</v>
      </c>
      <c r="E404" s="76" t="str">
        <f>E403</f>
        <v>Pre-Q</v>
      </c>
      <c r="F404" s="76">
        <f t="shared" si="75"/>
        <v>2</v>
      </c>
      <c r="G404" s="76" t="str">
        <f>G403</f>
        <v>3 vs 4</v>
      </c>
      <c r="H404" s="76" t="str">
        <f ca="1">IF(OR(S404="",T404=""),"",IFERROR(_xludf.XLOOKUP(S404,'Registrations'!#REF!,'Registrations'!#REF!,_xludf.XLOOKUP(S404,'Registrations'!$B$4:$B$211,'Registrations'!$E$4:$E$211,S404)),S404) &amp; " vs " &amp; IFERROR(_xludf.XLOOKUP(T404,'Registrations'!#REF!,'Registrations'!#REF!,_xludf.XLOOKUP(T404,'Registrations'!$B$4:$B$211,'Registrations'!$E$4:$E$211,T404)),T404))</f>
        <v>0 vs 0</v>
      </c>
      <c r="I404" s="76"/>
      <c r="J404" s="76"/>
      <c r="K404" s="76">
        <f>IF(Schedules[[#This Row],[Player 2]]="",Schedules[[#This Row],[Player 1]],Schedules[[#This Row],[Player 1]]&amp;" / "&amp;Schedules[[#This Row],[Player 2]])</f>
        <v>0</v>
      </c>
      <c r="L404" s="76">
        <v>15</v>
      </c>
      <c r="M404" s="76" t="str">
        <f t="shared" si="78"/>
        <v>WIN</v>
      </c>
      <c r="N404" s="76"/>
      <c r="O404" s="76"/>
      <c r="P404" s="76">
        <f>IF(Schedules[[#This Row],[Player 4]]="",Schedules[[#This Row],[Player 3]],Schedules[[#This Row],[Player 3]]&amp;" / "&amp;Schedules[[#This Row],[Player 4]])</f>
        <v>0</v>
      </c>
      <c r="Q404" s="76">
        <v>10</v>
      </c>
      <c r="R404" s="76" t="str">
        <f t="shared" si="79"/>
        <v>LOST</v>
      </c>
      <c r="S404" s="61">
        <f>Input!H94</f>
        <v>0</v>
      </c>
      <c r="T404" s="61">
        <f>Input!I94</f>
        <v>0</v>
      </c>
    </row>
    <row r="405" spans="1:20" hidden="1" x14ac:dyDescent="0.3">
      <c r="A405" s="109" t="s">
        <v>53</v>
      </c>
      <c r="B405" s="78" t="s">
        <v>67</v>
      </c>
      <c r="C405" s="79">
        <f>C404</f>
        <v>46117.788194444453</v>
      </c>
      <c r="D405" s="79">
        <f>D404</f>
        <v>46117.795138888898</v>
      </c>
      <c r="E405" s="78" t="s">
        <v>433</v>
      </c>
      <c r="F405" s="78">
        <f t="shared" si="75"/>
        <v>3</v>
      </c>
      <c r="G405" s="78">
        <v>5</v>
      </c>
      <c r="H405" s="78" t="str">
        <f ca="1">IF(OR(S405="",T405=""),"",IFERROR(_xludf.XLOOKUP(S405,'Registrations'!#REF!,'Registrations'!#REF!,_xludf.XLOOKUP(S405,'Registrations'!$B$4:$B$211,'Registrations'!$E$4:$E$211,S405)),S405) &amp; " vs " &amp; IFERROR(_xludf.XLOOKUP(T405,'Registrations'!#REF!,'Registrations'!#REF!,_xludf.XLOOKUP(T405,'Registrations'!$B$4:$B$211,'Registrations'!$E$4:$E$211,T405)),T405))</f>
        <v>0 vs 0</v>
      </c>
      <c r="I405" s="78"/>
      <c r="J405" s="78"/>
      <c r="K405" s="78">
        <f>IF(Schedules[[#This Row],[Player 2]]="",Schedules[[#This Row],[Player 1]],Schedules[[#This Row],[Player 1]]&amp;" / "&amp;Schedules[[#This Row],[Player 2]])</f>
        <v>0</v>
      </c>
      <c r="L405" s="78">
        <v>15</v>
      </c>
      <c r="M405" s="78" t="str">
        <f t="shared" si="78"/>
        <v>WIN</v>
      </c>
      <c r="N405" s="78"/>
      <c r="O405" s="78"/>
      <c r="P405" s="78">
        <f>IF(Schedules[[#This Row],[Player 4]]="",Schedules[[#This Row],[Player 3]],Schedules[[#This Row],[Player 3]]&amp;" / "&amp;Schedules[[#This Row],[Player 4]])</f>
        <v>0</v>
      </c>
      <c r="Q405" s="78">
        <v>10</v>
      </c>
      <c r="R405" s="78" t="str">
        <f t="shared" si="79"/>
        <v>LOST</v>
      </c>
      <c r="S405" s="61">
        <f>Input!B95</f>
        <v>0</v>
      </c>
      <c r="T405" s="61">
        <f>Input!C95</f>
        <v>0</v>
      </c>
    </row>
    <row r="406" spans="1:20" hidden="1" x14ac:dyDescent="0.3">
      <c r="A406" s="109" t="s">
        <v>53</v>
      </c>
      <c r="B406" s="78" t="s">
        <v>67</v>
      </c>
      <c r="C406" s="79">
        <f>D405+TIME(0,3,0)</f>
        <v>46117.797222222231</v>
      </c>
      <c r="D406" s="79">
        <f>C406+TIME(0,10,0)</f>
        <v>46117.804166666676</v>
      </c>
      <c r="E406" s="78" t="str">
        <f t="shared" ref="E406:E416" si="80">E405</f>
        <v>Group</v>
      </c>
      <c r="F406" s="78">
        <f t="shared" si="75"/>
        <v>1</v>
      </c>
      <c r="G406" s="78">
        <v>5</v>
      </c>
      <c r="H406" s="78" t="str">
        <f ca="1">IF(OR(S406="",T406=""),"",IFERROR(_xludf.XLOOKUP(S406,'Registrations'!#REF!,'Registrations'!#REF!,_xludf.XLOOKUP(S406,'Registrations'!$B$4:$B$211,'Registrations'!$E$4:$E$211,S406)),S406) &amp; " vs " &amp; IFERROR(_xludf.XLOOKUP(T406,'Registrations'!#REF!,'Registrations'!#REF!,_xludf.XLOOKUP(T406,'Registrations'!$B$4:$B$211,'Registrations'!$E$4:$E$211,T406)),T406))</f>
        <v>0 vs 0</v>
      </c>
      <c r="I406" s="78"/>
      <c r="J406" s="78"/>
      <c r="K406" s="78">
        <f>IF(Schedules[[#This Row],[Player 2]]="",Schedules[[#This Row],[Player 1]],Schedules[[#This Row],[Player 1]]&amp;" / "&amp;Schedules[[#This Row],[Player 2]])</f>
        <v>0</v>
      </c>
      <c r="L406" s="78">
        <v>15</v>
      </c>
      <c r="M406" s="78" t="str">
        <f t="shared" si="78"/>
        <v>WIN</v>
      </c>
      <c r="N406" s="78"/>
      <c r="O406" s="78"/>
      <c r="P406" s="78">
        <f>IF(Schedules[[#This Row],[Player 4]]="",Schedules[[#This Row],[Player 3]],Schedules[[#This Row],[Player 3]]&amp;" / "&amp;Schedules[[#This Row],[Player 4]])</f>
        <v>0</v>
      </c>
      <c r="Q406" s="78">
        <v>10</v>
      </c>
      <c r="R406" s="78" t="str">
        <f t="shared" si="79"/>
        <v>LOST</v>
      </c>
      <c r="S406" s="61">
        <f>Input!D95</f>
        <v>0</v>
      </c>
      <c r="T406" s="61">
        <f>Input!E95</f>
        <v>0</v>
      </c>
    </row>
    <row r="407" spans="1:20" hidden="1" x14ac:dyDescent="0.3">
      <c r="A407" s="109" t="s">
        <v>53</v>
      </c>
      <c r="B407" s="78" t="s">
        <v>67</v>
      </c>
      <c r="C407" s="79">
        <f>C406</f>
        <v>46117.797222222231</v>
      </c>
      <c r="D407" s="79">
        <f>D406</f>
        <v>46117.804166666676</v>
      </c>
      <c r="E407" s="78" t="str">
        <f t="shared" si="80"/>
        <v>Group</v>
      </c>
      <c r="F407" s="78">
        <f t="shared" si="75"/>
        <v>2</v>
      </c>
      <c r="G407" s="78">
        <v>6</v>
      </c>
      <c r="H407" s="78" t="str">
        <f ca="1">IF(OR(S407="",T407=""),"",IFERROR(_xludf.XLOOKUP(S407,'Registrations'!#REF!,'Registrations'!#REF!,_xludf.XLOOKUP(S407,'Registrations'!$B$4:$B$211,'Registrations'!$E$4:$E$211,S407)),S407) &amp; " vs " &amp; IFERROR(_xludf.XLOOKUP(T407,'Registrations'!#REF!,'Registrations'!#REF!,_xludf.XLOOKUP(T407,'Registrations'!$B$4:$B$211,'Registrations'!$E$4:$E$211,T407)),T407))</f>
        <v>0 vs 0</v>
      </c>
      <c r="I407" s="78"/>
      <c r="J407" s="78"/>
      <c r="K407" s="78">
        <f>IF(Schedules[[#This Row],[Player 2]]="",Schedules[[#This Row],[Player 1]],Schedules[[#This Row],[Player 1]]&amp;" / "&amp;Schedules[[#This Row],[Player 2]])</f>
        <v>0</v>
      </c>
      <c r="L407" s="78">
        <v>15</v>
      </c>
      <c r="M407" s="78" t="str">
        <f t="shared" si="78"/>
        <v>WIN</v>
      </c>
      <c r="N407" s="78"/>
      <c r="O407" s="78"/>
      <c r="P407" s="78">
        <f>IF(Schedules[[#This Row],[Player 4]]="",Schedules[[#This Row],[Player 3]],Schedules[[#This Row],[Player 3]]&amp;" / "&amp;Schedules[[#This Row],[Player 4]])</f>
        <v>0</v>
      </c>
      <c r="Q407" s="78">
        <v>10</v>
      </c>
      <c r="R407" s="78" t="str">
        <f t="shared" si="79"/>
        <v>LOST</v>
      </c>
      <c r="S407" s="61">
        <f>Input!B96</f>
        <v>0</v>
      </c>
      <c r="T407" s="61">
        <f>Input!C96</f>
        <v>0</v>
      </c>
    </row>
    <row r="408" spans="1:20" hidden="1" x14ac:dyDescent="0.3">
      <c r="A408" s="109" t="s">
        <v>53</v>
      </c>
      <c r="B408" s="78" t="s">
        <v>67</v>
      </c>
      <c r="C408" s="79">
        <f>C407</f>
        <v>46117.797222222231</v>
      </c>
      <c r="D408" s="79">
        <f>D407</f>
        <v>46117.804166666676</v>
      </c>
      <c r="E408" s="78" t="str">
        <f t="shared" si="80"/>
        <v>Group</v>
      </c>
      <c r="F408" s="78">
        <f t="shared" si="75"/>
        <v>3</v>
      </c>
      <c r="G408" s="78">
        <v>5</v>
      </c>
      <c r="H408" s="78" t="str">
        <f ca="1">IF(OR(S408="",T408=""),"",IFERROR(_xludf.XLOOKUP(S408,'Registrations'!#REF!,'Registrations'!#REF!,_xludf.XLOOKUP(S408,'Registrations'!$B$4:$B$211,'Registrations'!$E$4:$E$211,S408)),S408) &amp; " vs " &amp; IFERROR(_xludf.XLOOKUP(T408,'Registrations'!#REF!,'Registrations'!#REF!,_xludf.XLOOKUP(T408,'Registrations'!$B$4:$B$211,'Registrations'!$E$4:$E$211,T408)),T408))</f>
        <v>0 vs 0</v>
      </c>
      <c r="I408" s="78"/>
      <c r="J408" s="78"/>
      <c r="K408" s="78">
        <f>IF(Schedules[[#This Row],[Player 2]]="",Schedules[[#This Row],[Player 1]],Schedules[[#This Row],[Player 1]]&amp;" / "&amp;Schedules[[#This Row],[Player 2]])</f>
        <v>0</v>
      </c>
      <c r="L408" s="78">
        <v>15</v>
      </c>
      <c r="M408" s="78" t="str">
        <f t="shared" si="78"/>
        <v>WIN</v>
      </c>
      <c r="N408" s="78"/>
      <c r="O408" s="78"/>
      <c r="P408" s="78">
        <f>IF(Schedules[[#This Row],[Player 4]]="",Schedules[[#This Row],[Player 3]],Schedules[[#This Row],[Player 3]]&amp;" / "&amp;Schedules[[#This Row],[Player 4]])</f>
        <v>0</v>
      </c>
      <c r="Q408" s="78">
        <v>10</v>
      </c>
      <c r="R408" s="78" t="str">
        <f t="shared" si="79"/>
        <v>LOST</v>
      </c>
      <c r="S408" s="61">
        <f>Input!B95</f>
        <v>0</v>
      </c>
      <c r="T408" s="61">
        <f>Input!D95</f>
        <v>0</v>
      </c>
    </row>
    <row r="409" spans="1:20" hidden="1" x14ac:dyDescent="0.3">
      <c r="A409" s="109" t="s">
        <v>53</v>
      </c>
      <c r="B409" s="78" t="s">
        <v>67</v>
      </c>
      <c r="C409" s="79">
        <f>D408+TIME(0,3,0)</f>
        <v>46117.806250000009</v>
      </c>
      <c r="D409" s="79">
        <f>C409+TIME(0,10,0)</f>
        <v>46117.813194444454</v>
      </c>
      <c r="E409" s="78" t="str">
        <f t="shared" si="80"/>
        <v>Group</v>
      </c>
      <c r="F409" s="78">
        <f t="shared" si="75"/>
        <v>1</v>
      </c>
      <c r="G409" s="78">
        <v>5</v>
      </c>
      <c r="H409" s="78" t="str">
        <f ca="1">IF(OR(S409="",T409=""),"",IFERROR(_xludf.XLOOKUP(S409,'Registrations'!#REF!,'Registrations'!#REF!,_xludf.XLOOKUP(S409,'Registrations'!$B$4:$B$211,'Registrations'!$E$4:$E$211,S409)),S409) &amp; " vs " &amp; IFERROR(_xludf.XLOOKUP(T409,'Registrations'!#REF!,'Registrations'!#REF!,_xludf.XLOOKUP(T409,'Registrations'!$B$4:$B$211,'Registrations'!$E$4:$E$211,T409)),T409))</f>
        <v>0 vs 0</v>
      </c>
      <c r="I409" s="78"/>
      <c r="J409" s="78"/>
      <c r="K409" s="78">
        <f>IF(Schedules[[#This Row],[Player 2]]="",Schedules[[#This Row],[Player 1]],Schedules[[#This Row],[Player 1]]&amp;" / "&amp;Schedules[[#This Row],[Player 2]])</f>
        <v>0</v>
      </c>
      <c r="L409" s="78">
        <v>15</v>
      </c>
      <c r="M409" s="78" t="str">
        <f t="shared" si="78"/>
        <v>WIN</v>
      </c>
      <c r="N409" s="78"/>
      <c r="O409" s="78"/>
      <c r="P409" s="78">
        <f>IF(Schedules[[#This Row],[Player 4]]="",Schedules[[#This Row],[Player 3]],Schedules[[#This Row],[Player 3]]&amp;" / "&amp;Schedules[[#This Row],[Player 4]])</f>
        <v>0</v>
      </c>
      <c r="Q409" s="78">
        <v>10</v>
      </c>
      <c r="R409" s="78" t="str">
        <f t="shared" si="79"/>
        <v>LOST</v>
      </c>
      <c r="S409" s="61">
        <f>Input!C95</f>
        <v>0</v>
      </c>
      <c r="T409" s="61">
        <f>Input!E95</f>
        <v>0</v>
      </c>
    </row>
    <row r="410" spans="1:20" hidden="1" x14ac:dyDescent="0.3">
      <c r="A410" s="109" t="s">
        <v>53</v>
      </c>
      <c r="B410" s="78" t="s">
        <v>67</v>
      </c>
      <c r="C410" s="79">
        <f>C409</f>
        <v>46117.806250000009</v>
      </c>
      <c r="D410" s="79">
        <f>D409</f>
        <v>46117.813194444454</v>
      </c>
      <c r="E410" s="78" t="str">
        <f t="shared" si="80"/>
        <v>Group</v>
      </c>
      <c r="F410" s="78">
        <f t="shared" si="75"/>
        <v>2</v>
      </c>
      <c r="G410" s="78">
        <v>6</v>
      </c>
      <c r="H410" s="78" t="str">
        <f ca="1">IF(OR(S410="",T410=""),"",IFERROR(_xludf.XLOOKUP(S410,'Registrations'!#REF!,'Registrations'!#REF!,_xludf.XLOOKUP(S410,'Registrations'!$B$4:$B$211,'Registrations'!$E$4:$E$211,S410)),S410) &amp; " vs " &amp; IFERROR(_xludf.XLOOKUP(T410,'Registrations'!#REF!,'Registrations'!#REF!,_xludf.XLOOKUP(T410,'Registrations'!$B$4:$B$211,'Registrations'!$E$4:$E$211,T410)),T410))</f>
        <v>0 vs 0</v>
      </c>
      <c r="I410" s="78"/>
      <c r="J410" s="78"/>
      <c r="K410" s="78">
        <f>IF(Schedules[[#This Row],[Player 2]]="",Schedules[[#This Row],[Player 1]],Schedules[[#This Row],[Player 1]]&amp;" / "&amp;Schedules[[#This Row],[Player 2]])</f>
        <v>0</v>
      </c>
      <c r="L410" s="78">
        <v>15</v>
      </c>
      <c r="M410" s="78" t="str">
        <f t="shared" si="78"/>
        <v>WIN</v>
      </c>
      <c r="N410" s="78"/>
      <c r="O410" s="78"/>
      <c r="P410" s="78">
        <f>IF(Schedules[[#This Row],[Player 4]]="",Schedules[[#This Row],[Player 3]],Schedules[[#This Row],[Player 3]]&amp;" / "&amp;Schedules[[#This Row],[Player 4]])</f>
        <v>0</v>
      </c>
      <c r="Q410" s="78">
        <v>10</v>
      </c>
      <c r="R410" s="78" t="str">
        <f t="shared" si="79"/>
        <v>LOST</v>
      </c>
      <c r="S410" s="61">
        <f>Input!D96</f>
        <v>0</v>
      </c>
      <c r="T410" s="61">
        <f>Input!E96</f>
        <v>0</v>
      </c>
    </row>
    <row r="411" spans="1:20" hidden="1" x14ac:dyDescent="0.3">
      <c r="A411" s="109" t="s">
        <v>53</v>
      </c>
      <c r="B411" s="78" t="s">
        <v>67</v>
      </c>
      <c r="C411" s="79">
        <f>C410</f>
        <v>46117.806250000009</v>
      </c>
      <c r="D411" s="79">
        <f>D410</f>
        <v>46117.813194444454</v>
      </c>
      <c r="E411" s="78" t="str">
        <f t="shared" si="80"/>
        <v>Group</v>
      </c>
      <c r="F411" s="78">
        <f t="shared" si="75"/>
        <v>3</v>
      </c>
      <c r="G411" s="78">
        <v>6</v>
      </c>
      <c r="H411" s="78" t="str">
        <f ca="1">IF(OR(S411="",T411=""),"",IFERROR(_xludf.XLOOKUP(S411,'Registrations'!#REF!,'Registrations'!#REF!,_xludf.XLOOKUP(S411,'Registrations'!$B$4:$B$211,'Registrations'!$E$4:$E$211,S411)),S411) &amp; " vs " &amp; IFERROR(_xludf.XLOOKUP(T411,'Registrations'!#REF!,'Registrations'!#REF!,_xludf.XLOOKUP(T411,'Registrations'!$B$4:$B$211,'Registrations'!$E$4:$E$211,T411)),T411))</f>
        <v>0 vs 0</v>
      </c>
      <c r="I411" s="78"/>
      <c r="J411" s="78"/>
      <c r="K411" s="78">
        <f>IF(Schedules[[#This Row],[Player 2]]="",Schedules[[#This Row],[Player 1]],Schedules[[#This Row],[Player 1]]&amp;" / "&amp;Schedules[[#This Row],[Player 2]])</f>
        <v>0</v>
      </c>
      <c r="L411" s="78">
        <v>15</v>
      </c>
      <c r="M411" s="78" t="str">
        <f t="shared" si="78"/>
        <v>WIN</v>
      </c>
      <c r="N411" s="78"/>
      <c r="O411" s="78"/>
      <c r="P411" s="78">
        <f>IF(Schedules[[#This Row],[Player 4]]="",Schedules[[#This Row],[Player 3]],Schedules[[#This Row],[Player 3]]&amp;" / "&amp;Schedules[[#This Row],[Player 4]])</f>
        <v>0</v>
      </c>
      <c r="Q411" s="78">
        <v>10</v>
      </c>
      <c r="R411" s="78" t="str">
        <f t="shared" si="79"/>
        <v>LOST</v>
      </c>
      <c r="S411" s="61">
        <f>Input!B96</f>
        <v>0</v>
      </c>
      <c r="T411" s="61">
        <f>Input!D96</f>
        <v>0</v>
      </c>
    </row>
    <row r="412" spans="1:20" hidden="1" x14ac:dyDescent="0.3">
      <c r="A412" s="109" t="s">
        <v>53</v>
      </c>
      <c r="B412" s="78" t="s">
        <v>67</v>
      </c>
      <c r="C412" s="79">
        <f>D411+TIME(0,3,0)</f>
        <v>46117.815277777787</v>
      </c>
      <c r="D412" s="79">
        <f>C412+TIME(0,10,0)</f>
        <v>46117.822222222232</v>
      </c>
      <c r="E412" s="78" t="str">
        <f t="shared" si="80"/>
        <v>Group</v>
      </c>
      <c r="F412" s="78">
        <f t="shared" si="75"/>
        <v>1</v>
      </c>
      <c r="G412" s="78">
        <v>6</v>
      </c>
      <c r="H412" s="78" t="str">
        <f ca="1">IF(OR(S412="",T412=""),"",IFERROR(_xludf.XLOOKUP(S412,'Registrations'!#REF!,'Registrations'!#REF!,_xludf.XLOOKUP(S412,'Registrations'!$B$4:$B$211,'Registrations'!$E$4:$E$211,S412)),S412) &amp; " vs " &amp; IFERROR(_xludf.XLOOKUP(T412,'Registrations'!#REF!,'Registrations'!#REF!,_xludf.XLOOKUP(T412,'Registrations'!$B$4:$B$211,'Registrations'!$E$4:$E$211,T412)),T412))</f>
        <v>0 vs 0</v>
      </c>
      <c r="I412" s="78"/>
      <c r="J412" s="78"/>
      <c r="K412" s="78">
        <f>IF(Schedules[[#This Row],[Player 2]]="",Schedules[[#This Row],[Player 1]],Schedules[[#This Row],[Player 1]]&amp;" / "&amp;Schedules[[#This Row],[Player 2]])</f>
        <v>0</v>
      </c>
      <c r="L412" s="78">
        <v>15</v>
      </c>
      <c r="M412" s="78" t="str">
        <f t="shared" si="78"/>
        <v>WIN</v>
      </c>
      <c r="N412" s="78"/>
      <c r="O412" s="78"/>
      <c r="P412" s="78">
        <f>IF(Schedules[[#This Row],[Player 4]]="",Schedules[[#This Row],[Player 3]],Schedules[[#This Row],[Player 3]]&amp;" / "&amp;Schedules[[#This Row],[Player 4]])</f>
        <v>0</v>
      </c>
      <c r="Q412" s="78">
        <v>10</v>
      </c>
      <c r="R412" s="78" t="str">
        <f t="shared" si="79"/>
        <v>LOST</v>
      </c>
      <c r="S412" s="61">
        <f>Input!C96</f>
        <v>0</v>
      </c>
      <c r="T412" s="61">
        <f>Input!E96</f>
        <v>0</v>
      </c>
    </row>
    <row r="413" spans="1:20" hidden="1" x14ac:dyDescent="0.3">
      <c r="A413" s="109" t="s">
        <v>53</v>
      </c>
      <c r="B413" s="78" t="s">
        <v>67</v>
      </c>
      <c r="C413" s="79">
        <f>C412</f>
        <v>46117.815277777787</v>
      </c>
      <c r="D413" s="79">
        <f>D412</f>
        <v>46117.822222222232</v>
      </c>
      <c r="E413" s="78" t="str">
        <f t="shared" si="80"/>
        <v>Group</v>
      </c>
      <c r="F413" s="78">
        <f t="shared" si="75"/>
        <v>2</v>
      </c>
      <c r="G413" s="78">
        <v>5</v>
      </c>
      <c r="H413" s="78" t="str">
        <f ca="1">IF(OR(S413="",T413=""),"",IFERROR(_xludf.XLOOKUP(S413,'Registrations'!#REF!,'Registrations'!#REF!,_xludf.XLOOKUP(S413,'Registrations'!$B$4:$B$211,'Registrations'!$E$4:$E$211,S413)),S413) &amp; " vs " &amp; IFERROR(_xludf.XLOOKUP(T413,'Registrations'!#REF!,'Registrations'!#REF!,_xludf.XLOOKUP(T413,'Registrations'!$B$4:$B$211,'Registrations'!$E$4:$E$211,T413)),T413))</f>
        <v>0 vs 0</v>
      </c>
      <c r="I413" s="78"/>
      <c r="J413" s="78"/>
      <c r="K413" s="78">
        <f>IF(Schedules[[#This Row],[Player 2]]="",Schedules[[#This Row],[Player 1]],Schedules[[#This Row],[Player 1]]&amp;" / "&amp;Schedules[[#This Row],[Player 2]])</f>
        <v>0</v>
      </c>
      <c r="L413" s="78">
        <v>15</v>
      </c>
      <c r="M413" s="78" t="str">
        <f t="shared" si="78"/>
        <v>WIN</v>
      </c>
      <c r="N413" s="78"/>
      <c r="O413" s="78"/>
      <c r="P413" s="78">
        <f>IF(Schedules[[#This Row],[Player 4]]="",Schedules[[#This Row],[Player 3]],Schedules[[#This Row],[Player 3]]&amp;" / "&amp;Schedules[[#This Row],[Player 4]])</f>
        <v>0</v>
      </c>
      <c r="Q413" s="78">
        <v>10</v>
      </c>
      <c r="R413" s="78" t="str">
        <f t="shared" si="79"/>
        <v>LOST</v>
      </c>
      <c r="S413" s="61">
        <f>Input!B95</f>
        <v>0</v>
      </c>
      <c r="T413" s="61">
        <f>Input!E95</f>
        <v>0</v>
      </c>
    </row>
    <row r="414" spans="1:20" hidden="1" x14ac:dyDescent="0.3">
      <c r="A414" s="109" t="s">
        <v>53</v>
      </c>
      <c r="B414" s="78" t="s">
        <v>67</v>
      </c>
      <c r="C414" s="79">
        <f>C413</f>
        <v>46117.815277777787</v>
      </c>
      <c r="D414" s="79">
        <f>D413</f>
        <v>46117.822222222232</v>
      </c>
      <c r="E414" s="78" t="str">
        <f t="shared" si="80"/>
        <v>Group</v>
      </c>
      <c r="F414" s="78">
        <f t="shared" si="75"/>
        <v>3</v>
      </c>
      <c r="G414" s="78">
        <v>6</v>
      </c>
      <c r="H414" s="78" t="str">
        <f ca="1">IF(OR(S414="",T414=""),"",IFERROR(_xludf.XLOOKUP(S414,'Registrations'!#REF!,'Registrations'!#REF!,_xludf.XLOOKUP(S414,'Registrations'!$B$4:$B$211,'Registrations'!$E$4:$E$211,S414)),S414) &amp; " vs " &amp; IFERROR(_xludf.XLOOKUP(T414,'Registrations'!#REF!,'Registrations'!#REF!,_xludf.XLOOKUP(T414,'Registrations'!$B$4:$B$211,'Registrations'!$E$4:$E$211,T414)),T414))</f>
        <v>0 vs 0</v>
      </c>
      <c r="I414" s="78"/>
      <c r="J414" s="78"/>
      <c r="K414" s="78">
        <f>IF(Schedules[[#This Row],[Player 2]]="",Schedules[[#This Row],[Player 1]],Schedules[[#This Row],[Player 1]]&amp;" / "&amp;Schedules[[#This Row],[Player 2]])</f>
        <v>0</v>
      </c>
      <c r="L414" s="78">
        <v>15</v>
      </c>
      <c r="M414" s="78" t="str">
        <f t="shared" si="78"/>
        <v>WIN</v>
      </c>
      <c r="N414" s="78"/>
      <c r="O414" s="78"/>
      <c r="P414" s="78">
        <f>IF(Schedules[[#This Row],[Player 4]]="",Schedules[[#This Row],[Player 3]],Schedules[[#This Row],[Player 3]]&amp;" / "&amp;Schedules[[#This Row],[Player 4]])</f>
        <v>0</v>
      </c>
      <c r="Q414" s="78">
        <v>10</v>
      </c>
      <c r="R414" s="78" t="str">
        <f t="shared" si="79"/>
        <v>LOST</v>
      </c>
      <c r="S414" s="61">
        <f>Input!B96</f>
        <v>0</v>
      </c>
      <c r="T414" s="61">
        <f>Input!E96</f>
        <v>0</v>
      </c>
    </row>
    <row r="415" spans="1:20" hidden="1" x14ac:dyDescent="0.3">
      <c r="A415" s="109" t="s">
        <v>53</v>
      </c>
      <c r="B415" s="78" t="s">
        <v>67</v>
      </c>
      <c r="C415" s="79">
        <f>D414+TIME(0,3,0)</f>
        <v>46117.824305555565</v>
      </c>
      <c r="D415" s="79">
        <f>C415+TIME(0,10,0)</f>
        <v>46117.83125000001</v>
      </c>
      <c r="E415" s="78" t="str">
        <f t="shared" si="80"/>
        <v>Group</v>
      </c>
      <c r="F415" s="78">
        <f t="shared" si="75"/>
        <v>1</v>
      </c>
      <c r="G415" s="78">
        <v>6</v>
      </c>
      <c r="H415" s="78" t="str">
        <f ca="1">IF(OR(S415="",T415=""),"",IFERROR(_xludf.XLOOKUP(S415,'Registrations'!#REF!,'Registrations'!#REF!,_xludf.XLOOKUP(S415,'Registrations'!$B$4:$B$211,'Registrations'!$E$4:$E$211,S415)),S415) &amp; " vs " &amp; IFERROR(_xludf.XLOOKUP(T415,'Registrations'!#REF!,'Registrations'!#REF!,_xludf.XLOOKUP(T415,'Registrations'!$B$4:$B$211,'Registrations'!$E$4:$E$211,T415)),T415))</f>
        <v>0 vs 0</v>
      </c>
      <c r="I415" s="78"/>
      <c r="J415" s="78"/>
      <c r="K415" s="78">
        <f>IF(Schedules[[#This Row],[Player 2]]="",Schedules[[#This Row],[Player 1]],Schedules[[#This Row],[Player 1]]&amp;" / "&amp;Schedules[[#This Row],[Player 2]])</f>
        <v>0</v>
      </c>
      <c r="L415" s="78">
        <v>15</v>
      </c>
      <c r="M415" s="78" t="str">
        <f t="shared" si="78"/>
        <v>WIN</v>
      </c>
      <c r="N415" s="78"/>
      <c r="O415" s="78"/>
      <c r="P415" s="78">
        <f>IF(Schedules[[#This Row],[Player 4]]="",Schedules[[#This Row],[Player 3]],Schedules[[#This Row],[Player 3]]&amp;" / "&amp;Schedules[[#This Row],[Player 4]])</f>
        <v>0</v>
      </c>
      <c r="Q415" s="78">
        <v>10</v>
      </c>
      <c r="R415" s="78" t="str">
        <f t="shared" si="79"/>
        <v>LOST</v>
      </c>
      <c r="S415" s="61">
        <f>Input!C96</f>
        <v>0</v>
      </c>
      <c r="T415" s="61">
        <f>Input!D96</f>
        <v>0</v>
      </c>
    </row>
    <row r="416" spans="1:20" hidden="1" x14ac:dyDescent="0.3">
      <c r="A416" s="109" t="s">
        <v>53</v>
      </c>
      <c r="B416" s="78" t="s">
        <v>67</v>
      </c>
      <c r="C416" s="79">
        <f>C415</f>
        <v>46117.824305555565</v>
      </c>
      <c r="D416" s="79">
        <f>D415</f>
        <v>46117.83125000001</v>
      </c>
      <c r="E416" s="78" t="str">
        <f t="shared" si="80"/>
        <v>Group</v>
      </c>
      <c r="F416" s="78">
        <f t="shared" ref="F416:F427" si="81">F413</f>
        <v>2</v>
      </c>
      <c r="G416" s="78">
        <v>5</v>
      </c>
      <c r="H416" s="78" t="str">
        <f ca="1">IF(OR(S416="",T416=""),"",IFERROR(_xludf.XLOOKUP(S416,'Registrations'!#REF!,'Registrations'!#REF!,_xludf.XLOOKUP(S416,'Registrations'!$B$4:$B$211,'Registrations'!$E$4:$E$211,S416)),S416) &amp; " vs " &amp; IFERROR(_xludf.XLOOKUP(T416,'Registrations'!#REF!,'Registrations'!#REF!,_xludf.XLOOKUP(T416,'Registrations'!$B$4:$B$211,'Registrations'!$E$4:$E$211,T416)),T416))</f>
        <v>0 vs 0</v>
      </c>
      <c r="I416" s="78"/>
      <c r="J416" s="78"/>
      <c r="K416" s="78">
        <f>IF(Schedules[[#This Row],[Player 2]]="",Schedules[[#This Row],[Player 1]],Schedules[[#This Row],[Player 1]]&amp;" / "&amp;Schedules[[#This Row],[Player 2]])</f>
        <v>0</v>
      </c>
      <c r="L416" s="78">
        <v>15</v>
      </c>
      <c r="M416" s="78" t="str">
        <f t="shared" si="78"/>
        <v>WIN</v>
      </c>
      <c r="N416" s="78"/>
      <c r="O416" s="78"/>
      <c r="P416" s="78">
        <f>IF(Schedules[[#This Row],[Player 4]]="",Schedules[[#This Row],[Player 3]],Schedules[[#This Row],[Player 3]]&amp;" / "&amp;Schedules[[#This Row],[Player 4]])</f>
        <v>0</v>
      </c>
      <c r="Q416" s="78">
        <v>10</v>
      </c>
      <c r="R416" s="78" t="str">
        <f t="shared" si="79"/>
        <v>LOST</v>
      </c>
      <c r="S416" s="61">
        <f>Input!C95</f>
        <v>0</v>
      </c>
      <c r="T416" s="61">
        <f>Input!D95</f>
        <v>0</v>
      </c>
    </row>
    <row r="417" spans="1:20" hidden="1" x14ac:dyDescent="0.3">
      <c r="A417" s="110" t="s">
        <v>53</v>
      </c>
      <c r="B417" s="76" t="s">
        <v>67</v>
      </c>
      <c r="C417" s="77">
        <f>C416</f>
        <v>46117.824305555565</v>
      </c>
      <c r="D417" s="77">
        <f>D416</f>
        <v>46117.83125000001</v>
      </c>
      <c r="E417" s="76" t="s">
        <v>432</v>
      </c>
      <c r="F417" s="76">
        <f t="shared" si="81"/>
        <v>3</v>
      </c>
      <c r="G417" s="76" t="s">
        <v>431</v>
      </c>
      <c r="H417" s="76" t="str">
        <f ca="1">IF(OR(S417="",T417=""),"",IFERROR(_xludf.XLOOKUP(S417,'Registrations'!#REF!,'Registrations'!#REF!,_xludf.XLOOKUP(S417,'Registrations'!$B$4:$B$211,'Registrations'!$E$4:$E$211,S417)),S417) &amp; " vs " &amp; IFERROR(_xludf.XLOOKUP(T417,'Registrations'!#REF!,'Registrations'!#REF!,_xludf.XLOOKUP(T417,'Registrations'!$B$4:$B$211,'Registrations'!$E$4:$E$211,T417)),T417))</f>
        <v>0 vs 0</v>
      </c>
      <c r="I417" s="76"/>
      <c r="J417" s="76"/>
      <c r="K417" s="76">
        <f>IF(Schedules[[#This Row],[Player 2]]="",Schedules[[#This Row],[Player 1]],Schedules[[#This Row],[Player 1]]&amp;" / "&amp;Schedules[[#This Row],[Player 2]])</f>
        <v>0</v>
      </c>
      <c r="L417" s="76">
        <v>15</v>
      </c>
      <c r="M417" s="76" t="str">
        <f t="shared" si="78"/>
        <v>WIN</v>
      </c>
      <c r="N417" s="76"/>
      <c r="O417" s="76"/>
      <c r="P417" s="76">
        <f>IF(Schedules[[#This Row],[Player 4]]="",Schedules[[#This Row],[Player 3]],Schedules[[#This Row],[Player 3]]&amp;" / "&amp;Schedules[[#This Row],[Player 4]])</f>
        <v>0</v>
      </c>
      <c r="Q417" s="76">
        <v>10</v>
      </c>
      <c r="R417" s="76" t="str">
        <f t="shared" si="79"/>
        <v>LOST</v>
      </c>
      <c r="S417" s="61">
        <f>Input!H95</f>
        <v>0</v>
      </c>
      <c r="T417" s="61">
        <f>Input!I95</f>
        <v>0</v>
      </c>
    </row>
    <row r="418" spans="1:20" hidden="1" x14ac:dyDescent="0.3">
      <c r="A418" s="110" t="s">
        <v>53</v>
      </c>
      <c r="B418" s="76" t="s">
        <v>67</v>
      </c>
      <c r="C418" s="77">
        <f>D417+TIME(0,3,0)</f>
        <v>46117.833333333343</v>
      </c>
      <c r="D418" s="77">
        <f>C418+TIME(0,10,0)</f>
        <v>46117.840277777788</v>
      </c>
      <c r="E418" s="76" t="str">
        <f>E417</f>
        <v>Pre-Q</v>
      </c>
      <c r="F418" s="76">
        <f t="shared" si="81"/>
        <v>1</v>
      </c>
      <c r="G418" s="76" t="str">
        <f>G417</f>
        <v>5 vs 6</v>
      </c>
      <c r="H418" s="76" t="str">
        <f ca="1">IF(OR(S418="",T418=""),"",IFERROR(_xludf.XLOOKUP(S418,'Registrations'!#REF!,'Registrations'!#REF!,_xludf.XLOOKUP(S418,'Registrations'!$B$4:$B$211,'Registrations'!$E$4:$E$211,S418)),S418) &amp; " vs " &amp; IFERROR(_xludf.XLOOKUP(T418,'Registrations'!#REF!,'Registrations'!#REF!,_xludf.XLOOKUP(T418,'Registrations'!$B$4:$B$211,'Registrations'!$E$4:$E$211,T418)),T418))</f>
        <v>0 vs 0</v>
      </c>
      <c r="I418" s="76"/>
      <c r="J418" s="76"/>
      <c r="K418" s="76">
        <f>IF(Schedules[[#This Row],[Player 2]]="",Schedules[[#This Row],[Player 1]],Schedules[[#This Row],[Player 1]]&amp;" / "&amp;Schedules[[#This Row],[Player 2]])</f>
        <v>0</v>
      </c>
      <c r="L418" s="76">
        <v>15</v>
      </c>
      <c r="M418" s="76" t="str">
        <f t="shared" si="78"/>
        <v>WIN</v>
      </c>
      <c r="N418" s="76"/>
      <c r="O418" s="76"/>
      <c r="P418" s="76">
        <f>IF(Schedules[[#This Row],[Player 4]]="",Schedules[[#This Row],[Player 3]],Schedules[[#This Row],[Player 3]]&amp;" / "&amp;Schedules[[#This Row],[Player 4]])</f>
        <v>0</v>
      </c>
      <c r="Q418" s="76">
        <v>10</v>
      </c>
      <c r="R418" s="76" t="str">
        <f t="shared" si="79"/>
        <v>LOST</v>
      </c>
      <c r="S418" s="61">
        <f>Input!H96</f>
        <v>0</v>
      </c>
      <c r="T418" s="61">
        <f>Input!I96</f>
        <v>0</v>
      </c>
    </row>
    <row r="419" spans="1:20" hidden="1" x14ac:dyDescent="0.3">
      <c r="A419" s="111" t="s">
        <v>53</v>
      </c>
      <c r="B419" s="74" t="s">
        <v>67</v>
      </c>
      <c r="C419" s="75">
        <f>C418</f>
        <v>46117.833333333343</v>
      </c>
      <c r="D419" s="75">
        <f>D418</f>
        <v>46117.840277777788</v>
      </c>
      <c r="E419" s="74" t="s">
        <v>40</v>
      </c>
      <c r="F419" s="74">
        <f t="shared" si="81"/>
        <v>2</v>
      </c>
      <c r="G419" s="74" t="s">
        <v>430</v>
      </c>
      <c r="H419" s="74" t="str">
        <f ca="1">IF(OR(S419="",T419=""),"",IFERROR(_xludf.XLOOKUP(S419,'Registrations'!#REF!,'Registrations'!#REF!,_xludf.XLOOKUP(S419,'Registrations'!$B$4:$B$211,'Registrations'!$E$4:$E$211,S419)),S419) &amp; " vs " &amp; IFERROR(_xludf.XLOOKUP(T419,'Registrations'!#REF!,'Registrations'!#REF!,_xludf.XLOOKUP(T419,'Registrations'!$B$4:$B$211,'Registrations'!$E$4:$E$211,T419)),T419))</f>
        <v>0 vs 0</v>
      </c>
      <c r="I419" s="74"/>
      <c r="J419" s="74"/>
      <c r="K419" s="74">
        <f>IF(Schedules[[#This Row],[Player 2]]="",Schedules[[#This Row],[Player 1]],Schedules[[#This Row],[Player 1]]&amp;" / "&amp;Schedules[[#This Row],[Player 2]])</f>
        <v>0</v>
      </c>
      <c r="L419" s="74">
        <v>15</v>
      </c>
      <c r="M419" s="74" t="str">
        <f t="shared" si="78"/>
        <v>WIN</v>
      </c>
      <c r="N419" s="74"/>
      <c r="O419" s="74"/>
      <c r="P419" s="74">
        <f>IF(Schedules[[#This Row],[Player 4]]="",Schedules[[#This Row],[Player 3]],Schedules[[#This Row],[Player 3]]&amp;" / "&amp;Schedules[[#This Row],[Player 4]])</f>
        <v>0</v>
      </c>
      <c r="Q419" s="74">
        <v>10</v>
      </c>
      <c r="R419" s="74" t="str">
        <f t="shared" si="79"/>
        <v>LOST</v>
      </c>
      <c r="S419" s="61">
        <f>Input!L93</f>
        <v>0</v>
      </c>
      <c r="T419" s="61">
        <f>Input!M93</f>
        <v>0</v>
      </c>
    </row>
    <row r="420" spans="1:20" hidden="1" x14ac:dyDescent="0.3">
      <c r="A420" s="112" t="s">
        <v>53</v>
      </c>
      <c r="B420" s="70" t="s">
        <v>67</v>
      </c>
      <c r="C420" s="71">
        <f>C419</f>
        <v>46117.833333333343</v>
      </c>
      <c r="D420" s="71">
        <f>D419</f>
        <v>46117.840277777788</v>
      </c>
      <c r="E420" s="70" t="s">
        <v>424</v>
      </c>
      <c r="F420" s="70">
        <f t="shared" si="81"/>
        <v>3</v>
      </c>
      <c r="G420" s="70"/>
      <c r="H420" s="70"/>
      <c r="I420" s="70"/>
      <c r="J420" s="70"/>
      <c r="K420" s="70">
        <f>IF(Schedules[[#This Row],[Player 2]]="",Schedules[[#This Row],[Player 1]],Schedules[[#This Row],[Player 1]]&amp;" / "&amp;Schedules[[#This Row],[Player 2]])</f>
        <v>0</v>
      </c>
      <c r="L420" s="70">
        <v>15</v>
      </c>
      <c r="M420" s="70" t="str">
        <f t="shared" si="78"/>
        <v>WIN</v>
      </c>
      <c r="N420" s="70"/>
      <c r="O420" s="70"/>
      <c r="P420" s="70">
        <f>IF(Schedules[[#This Row],[Player 4]]="",Schedules[[#This Row],[Player 3]],Schedules[[#This Row],[Player 3]]&amp;" / "&amp;Schedules[[#This Row],[Player 4]])</f>
        <v>0</v>
      </c>
      <c r="Q420" s="70">
        <v>10</v>
      </c>
      <c r="R420" s="70" t="str">
        <f t="shared" si="79"/>
        <v>LOST</v>
      </c>
      <c r="T420" s="61"/>
    </row>
    <row r="421" spans="1:20" hidden="1" x14ac:dyDescent="0.3">
      <c r="A421" s="111" t="s">
        <v>53</v>
      </c>
      <c r="B421" s="74" t="s">
        <v>67</v>
      </c>
      <c r="C421" s="75">
        <f>D420+TIME(0,3,0)</f>
        <v>46117.842361111121</v>
      </c>
      <c r="D421" s="75">
        <f>C421+TIME(0,10,0)</f>
        <v>46117.849305555566</v>
      </c>
      <c r="E421" s="74" t="str">
        <f>E419</f>
        <v>Quarters</v>
      </c>
      <c r="F421" s="74">
        <f t="shared" si="81"/>
        <v>1</v>
      </c>
      <c r="G421" s="74" t="s">
        <v>429</v>
      </c>
      <c r="H421" s="74" t="str">
        <f ca="1">IF(OR(S421="",T421=""),"",IFERROR(_xludf.XLOOKUP(S421,'Registrations'!#REF!,'Registrations'!#REF!,_xludf.XLOOKUP(S421,'Registrations'!$B$4:$B$211,'Registrations'!$E$4:$E$211,S421)),S421) &amp; " vs " &amp; IFERROR(_xludf.XLOOKUP(T421,'Registrations'!#REF!,'Registrations'!#REF!,_xludf.XLOOKUP(T421,'Registrations'!$B$4:$B$211,'Registrations'!$E$4:$E$211,T421)),T421))</f>
        <v>Sachin Verma / Hema Thakkar vs 0</v>
      </c>
      <c r="I421" s="74"/>
      <c r="J421" s="74"/>
      <c r="K421" s="74">
        <f>IF(Schedules[[#This Row],[Player 2]]="",Schedules[[#This Row],[Player 1]],Schedules[[#This Row],[Player 1]]&amp;" / "&amp;Schedules[[#This Row],[Player 2]])</f>
        <v>0</v>
      </c>
      <c r="L421" s="74">
        <v>15</v>
      </c>
      <c r="M421" s="74" t="str">
        <f t="shared" si="78"/>
        <v>WIN</v>
      </c>
      <c r="N421" s="74"/>
      <c r="O421" s="74"/>
      <c r="P421" s="74">
        <f>IF(Schedules[[#This Row],[Player 4]]="",Schedules[[#This Row],[Player 3]],Schedules[[#This Row],[Player 3]]&amp;" / "&amp;Schedules[[#This Row],[Player 4]])</f>
        <v>0</v>
      </c>
      <c r="Q421" s="74">
        <v>10</v>
      </c>
      <c r="R421" s="74" t="str">
        <f t="shared" si="79"/>
        <v>LOST</v>
      </c>
      <c r="S421" s="61" t="str">
        <f>Input!L91</f>
        <v>Sachin Verma / Hema Thakkar</v>
      </c>
      <c r="T421" s="61">
        <f>Input!M91</f>
        <v>0</v>
      </c>
    </row>
    <row r="422" spans="1:20" hidden="1" x14ac:dyDescent="0.3">
      <c r="A422" s="111" t="s">
        <v>53</v>
      </c>
      <c r="B422" s="74" t="s">
        <v>67</v>
      </c>
      <c r="C422" s="75">
        <f>C421</f>
        <v>46117.842361111121</v>
      </c>
      <c r="D422" s="75">
        <f>D421</f>
        <v>46117.849305555566</v>
      </c>
      <c r="E422" s="74" t="str">
        <f>E421</f>
        <v>Quarters</v>
      </c>
      <c r="F422" s="74">
        <f t="shared" si="81"/>
        <v>2</v>
      </c>
      <c r="G422" s="74" t="s">
        <v>428</v>
      </c>
      <c r="H422" s="74" t="str">
        <f ca="1">IF(OR(S422="",T422=""),"",IFERROR(_xludf.XLOOKUP(S422,'Registrations'!#REF!,'Registrations'!#REF!,_xludf.XLOOKUP(S422,'Registrations'!$B$4:$B$211,'Registrations'!$E$4:$E$211,S422)),S422) &amp; " vs " &amp; IFERROR(_xludf.XLOOKUP(T422,'Registrations'!#REF!,'Registrations'!#REF!,_xludf.XLOOKUP(T422,'Registrations'!$B$4:$B$211,'Registrations'!$E$4:$E$211,T422)),T422))</f>
        <v>Nachiket Gogia / Purva Verma vs 0</v>
      </c>
      <c r="I422" s="74"/>
      <c r="J422" s="74"/>
      <c r="K422" s="74">
        <f>IF(Schedules[[#This Row],[Player 2]]="",Schedules[[#This Row],[Player 1]],Schedules[[#This Row],[Player 1]]&amp;" / "&amp;Schedules[[#This Row],[Player 2]])</f>
        <v>0</v>
      </c>
      <c r="L422" s="74">
        <v>15</v>
      </c>
      <c r="M422" s="74" t="str">
        <f t="shared" si="78"/>
        <v>WIN</v>
      </c>
      <c r="N422" s="74"/>
      <c r="O422" s="74"/>
      <c r="P422" s="74">
        <f>IF(Schedules[[#This Row],[Player 4]]="",Schedules[[#This Row],[Player 3]],Schedules[[#This Row],[Player 3]]&amp;" / "&amp;Schedules[[#This Row],[Player 4]])</f>
        <v>0</v>
      </c>
      <c r="Q422" s="74">
        <v>10</v>
      </c>
      <c r="R422" s="74" t="str">
        <f t="shared" si="79"/>
        <v>LOST</v>
      </c>
      <c r="S422" s="61" t="str">
        <f>Input!L92</f>
        <v>Nachiket Gogia / Purva Verma</v>
      </c>
      <c r="T422" s="61">
        <f>Input!M92</f>
        <v>0</v>
      </c>
    </row>
    <row r="423" spans="1:20" hidden="1" x14ac:dyDescent="0.3">
      <c r="A423" s="112" t="s">
        <v>53</v>
      </c>
      <c r="B423" s="70" t="s">
        <v>67</v>
      </c>
      <c r="C423" s="71">
        <f>C422</f>
        <v>46117.842361111121</v>
      </c>
      <c r="D423" s="71">
        <f>D422</f>
        <v>46117.849305555566</v>
      </c>
      <c r="E423" s="70" t="s">
        <v>424</v>
      </c>
      <c r="F423" s="70">
        <f t="shared" si="81"/>
        <v>3</v>
      </c>
      <c r="G423" s="70"/>
      <c r="H423" s="70"/>
      <c r="I423" s="70"/>
      <c r="J423" s="70"/>
      <c r="K423" s="70">
        <f>IF(Schedules[[#This Row],[Player 2]]="",Schedules[[#This Row],[Player 1]],Schedules[[#This Row],[Player 1]]&amp;" / "&amp;Schedules[[#This Row],[Player 2]])</f>
        <v>0</v>
      </c>
      <c r="L423" s="70">
        <v>15</v>
      </c>
      <c r="M423" s="70" t="str">
        <f t="shared" si="78"/>
        <v>WIN</v>
      </c>
      <c r="N423" s="70"/>
      <c r="O423" s="70"/>
      <c r="P423" s="70">
        <f>IF(Schedules[[#This Row],[Player 4]]="",Schedules[[#This Row],[Player 3]],Schedules[[#This Row],[Player 3]]&amp;" / "&amp;Schedules[[#This Row],[Player 4]])</f>
        <v>0</v>
      </c>
      <c r="Q423" s="70">
        <v>10</v>
      </c>
      <c r="R423" s="70" t="str">
        <f t="shared" si="79"/>
        <v>LOST</v>
      </c>
      <c r="T423" s="61"/>
    </row>
    <row r="424" spans="1:20" hidden="1" x14ac:dyDescent="0.3">
      <c r="A424" s="113" t="s">
        <v>53</v>
      </c>
      <c r="B424" s="72" t="s">
        <v>67</v>
      </c>
      <c r="C424" s="73">
        <f>D423+TIME(0,3,0)</f>
        <v>46117.851388888899</v>
      </c>
      <c r="D424" s="73">
        <f>C424+TIME(0,10,0)</f>
        <v>46117.858333333344</v>
      </c>
      <c r="E424" s="72" t="s">
        <v>427</v>
      </c>
      <c r="F424" s="72">
        <f t="shared" si="81"/>
        <v>1</v>
      </c>
      <c r="G424" s="72" t="s">
        <v>426</v>
      </c>
      <c r="H424" s="72" t="str">
        <f ca="1">IF(OR(S424="",T424=""),"",IFERROR(_xludf.XLOOKUP(S424,'Registrations'!#REF!,'Registrations'!#REF!,_xludf.XLOOKUP(S424,'Registrations'!$B$4:$B$211,'Registrations'!$E$4:$E$211,S424)),S424) &amp; " vs " &amp; IFERROR(_xludf.XLOOKUP(T424,'Registrations'!#REF!,'Registrations'!#REF!,_xludf.XLOOKUP(T424,'Registrations'!$B$4:$B$211,'Registrations'!$E$4:$E$211,T424)),T424))</f>
        <v>Sachin Verma / Hema Thakkar vs 0</v>
      </c>
      <c r="I424" s="72"/>
      <c r="J424" s="72"/>
      <c r="K424" s="72">
        <f>IF(Schedules[[#This Row],[Player 2]]="",Schedules[[#This Row],[Player 1]],Schedules[[#This Row],[Player 1]]&amp;" / "&amp;Schedules[[#This Row],[Player 2]])</f>
        <v>0</v>
      </c>
      <c r="L424" s="72">
        <v>15</v>
      </c>
      <c r="M424" s="72" t="str">
        <f t="shared" si="78"/>
        <v>WIN</v>
      </c>
      <c r="N424" s="72"/>
      <c r="O424" s="72"/>
      <c r="P424" s="72">
        <f>IF(Schedules[[#This Row],[Player 4]]="",Schedules[[#This Row],[Player 3]],Schedules[[#This Row],[Player 3]]&amp;" / "&amp;Schedules[[#This Row],[Player 4]])</f>
        <v>0</v>
      </c>
      <c r="Q424" s="72">
        <v>10</v>
      </c>
      <c r="R424" s="72" t="str">
        <f t="shared" si="79"/>
        <v>LOST</v>
      </c>
      <c r="S424" s="61" t="str">
        <f>Input!P91</f>
        <v>Sachin Verma / Hema Thakkar</v>
      </c>
      <c r="T424" s="61">
        <f>Input!Q91</f>
        <v>0</v>
      </c>
    </row>
    <row r="425" spans="1:20" hidden="1" x14ac:dyDescent="0.3">
      <c r="A425" s="113" t="s">
        <v>53</v>
      </c>
      <c r="B425" s="72" t="s">
        <v>67</v>
      </c>
      <c r="C425" s="73">
        <f>C424</f>
        <v>46117.851388888899</v>
      </c>
      <c r="D425" s="73">
        <f>D424</f>
        <v>46117.858333333344</v>
      </c>
      <c r="E425" s="72" t="str">
        <f>E424</f>
        <v>Semi Final</v>
      </c>
      <c r="F425" s="72">
        <f t="shared" si="81"/>
        <v>2</v>
      </c>
      <c r="G425" s="72" t="s">
        <v>425</v>
      </c>
      <c r="H425" s="72" t="str">
        <f ca="1">IF(OR(S425="",T425=""),"",IFERROR(_xludf.XLOOKUP(S425,'Registrations'!#REF!,'Registrations'!#REF!,_xludf.XLOOKUP(S425,'Registrations'!$B$4:$B$211,'Registrations'!$E$4:$E$211,S425)),S425) &amp; " vs " &amp; IFERROR(_xludf.XLOOKUP(T425,'Registrations'!#REF!,'Registrations'!#REF!,_xludf.XLOOKUP(T425,'Registrations'!$B$4:$B$211,'Registrations'!$E$4:$E$211,T425)),T425))</f>
        <v>Nachiket Gogia / Purva Verma vs WC 1</v>
      </c>
      <c r="I425" s="72"/>
      <c r="J425" s="72"/>
      <c r="K425" s="72">
        <f>IF(Schedules[[#This Row],[Player 2]]="",Schedules[[#This Row],[Player 1]],Schedules[[#This Row],[Player 1]]&amp;" / "&amp;Schedules[[#This Row],[Player 2]])</f>
        <v>0</v>
      </c>
      <c r="L425" s="72">
        <v>15</v>
      </c>
      <c r="M425" s="72" t="str">
        <f t="shared" si="78"/>
        <v>WIN</v>
      </c>
      <c r="N425" s="72"/>
      <c r="O425" s="72"/>
      <c r="P425" s="72">
        <f>IF(Schedules[[#This Row],[Player 4]]="",Schedules[[#This Row],[Player 3]],Schedules[[#This Row],[Player 3]]&amp;" / "&amp;Schedules[[#This Row],[Player 4]])</f>
        <v>0</v>
      </c>
      <c r="Q425" s="72">
        <v>10</v>
      </c>
      <c r="R425" s="72" t="str">
        <f t="shared" si="79"/>
        <v>LOST</v>
      </c>
      <c r="S425" s="61" t="str">
        <f>Input!P92</f>
        <v>Nachiket Gogia / Purva Verma</v>
      </c>
      <c r="T425" s="61" t="str">
        <f>Input!Q92</f>
        <v>WC 1</v>
      </c>
    </row>
    <row r="426" spans="1:20" hidden="1" x14ac:dyDescent="0.3">
      <c r="A426" s="112" t="s">
        <v>53</v>
      </c>
      <c r="B426" s="70" t="s">
        <v>67</v>
      </c>
      <c r="C426" s="71">
        <f>C425</f>
        <v>46117.851388888899</v>
      </c>
      <c r="D426" s="71">
        <f>D425</f>
        <v>46117.858333333344</v>
      </c>
      <c r="E426" s="70" t="s">
        <v>424</v>
      </c>
      <c r="F426" s="70">
        <f t="shared" si="81"/>
        <v>3</v>
      </c>
      <c r="G426" s="70"/>
      <c r="H426" s="70"/>
      <c r="I426" s="70"/>
      <c r="J426" s="70"/>
      <c r="K426" s="70">
        <f>IF(Schedules[[#This Row],[Player 2]]="",Schedules[[#This Row],[Player 1]],Schedules[[#This Row],[Player 1]]&amp;" / "&amp;Schedules[[#This Row],[Player 2]])</f>
        <v>0</v>
      </c>
      <c r="L426" s="70">
        <v>15</v>
      </c>
      <c r="M426" s="70" t="str">
        <f t="shared" si="78"/>
        <v>WIN</v>
      </c>
      <c r="N426" s="70"/>
      <c r="O426" s="70"/>
      <c r="P426" s="70">
        <f>IF(Schedules[[#This Row],[Player 4]]="",Schedules[[#This Row],[Player 3]],Schedules[[#This Row],[Player 3]]&amp;" / "&amp;Schedules[[#This Row],[Player 4]])</f>
        <v>0</v>
      </c>
      <c r="Q426" s="70">
        <v>10</v>
      </c>
      <c r="R426" s="70" t="str">
        <f t="shared" si="79"/>
        <v>LOST</v>
      </c>
      <c r="T426" s="61"/>
    </row>
    <row r="427" spans="1:20" hidden="1" x14ac:dyDescent="0.3">
      <c r="A427" s="114" t="s">
        <v>53</v>
      </c>
      <c r="B427" s="68" t="s">
        <v>67</v>
      </c>
      <c r="C427" s="69">
        <f>C425</f>
        <v>46117.851388888899</v>
      </c>
      <c r="D427" s="69">
        <f>D425</f>
        <v>46117.858333333344</v>
      </c>
      <c r="E427" s="68" t="s">
        <v>423</v>
      </c>
      <c r="F427" s="68">
        <f t="shared" si="81"/>
        <v>1</v>
      </c>
      <c r="G427" s="68" t="s">
        <v>422</v>
      </c>
      <c r="H427" s="68" t="str">
        <f ca="1">IF(OR(S427="",T427=""),"",IFERROR(_xludf.XLOOKUP(S427,'Registrations'!#REF!,'Registrations'!#REF!,_xludf.XLOOKUP(S427,'Registrations'!$B$4:$B$211,'Registrations'!$E$4:$E$211,S427)),S427) &amp; " vs " &amp; IFERROR(_xludf.XLOOKUP(T427,'Registrations'!#REF!,'Registrations'!#REF!,_xludf.XLOOKUP(T427,'Registrations'!$B$4:$B$211,'Registrations'!$E$4:$E$211,T427)),T427))</f>
        <v>Sachin Verma / Hema Thakkar vs Nachiket Gogia / Purva Verma</v>
      </c>
      <c r="I427" s="68"/>
      <c r="J427" s="68"/>
      <c r="K427" s="68">
        <f>IF(Schedules[[#This Row],[Player 2]]="",Schedules[[#This Row],[Player 1]],Schedules[[#This Row],[Player 1]]&amp;" / "&amp;Schedules[[#This Row],[Player 2]])</f>
        <v>0</v>
      </c>
      <c r="L427" s="68">
        <v>15</v>
      </c>
      <c r="M427" s="68" t="str">
        <f t="shared" si="78"/>
        <v>WIN</v>
      </c>
      <c r="N427" s="68"/>
      <c r="O427" s="68"/>
      <c r="P427" s="68">
        <f>IF(Schedules[[#This Row],[Player 4]]="",Schedules[[#This Row],[Player 3]],Schedules[[#This Row],[Player 3]]&amp;" / "&amp;Schedules[[#This Row],[Player 4]])</f>
        <v>0</v>
      </c>
      <c r="Q427" s="68">
        <v>10</v>
      </c>
      <c r="R427" s="68" t="str">
        <f t="shared" si="79"/>
        <v>LOST</v>
      </c>
      <c r="S427" s="61" t="str">
        <f>Input!T91</f>
        <v>Sachin Verma / Hema Thakkar</v>
      </c>
      <c r="T427" s="61" t="str">
        <f>Input!U91</f>
        <v>Nachiket Gogia / Purva Verma</v>
      </c>
    </row>
  </sheetData>
  <phoneticPr fontId="25" type="noConversion"/>
  <pageMargins left="0.74803149606299213" right="0.74803149606299213" top="0.98425196850393704" bottom="0.98425196850393704" header="0.51181102362204722" footer="0.51181102362204722"/>
  <pageSetup scale="16" orientation="landscape" r:id="rId1"/>
  <ignoredErrors>
    <ignoredError sqref="C3:D427" formula="1"/>
    <ignoredError sqref="F2:F427 P2:P51 K3:K427" calculatedColumn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7"/>
  <sheetViews>
    <sheetView showGridLines="0" workbookViewId="0">
      <selection activeCell="B4" sqref="B4"/>
    </sheetView>
  </sheetViews>
  <sheetFormatPr defaultRowHeight="10.5" outlineLevelRow="1" x14ac:dyDescent="0.25"/>
  <cols>
    <col min="1" max="6" width="18" style="3" customWidth="1"/>
    <col min="7" max="12" width="13" style="3" customWidth="1"/>
    <col min="13" max="16384" width="8.7265625" style="3"/>
  </cols>
  <sheetData>
    <row r="1" spans="1:9" ht="14.5" x14ac:dyDescent="0.35">
      <c r="A1" s="1" t="s">
        <v>47</v>
      </c>
    </row>
    <row r="2" spans="1:9" x14ac:dyDescent="0.25"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4" t="s">
        <v>19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56</v>
      </c>
    </row>
    <row r="4" spans="1:9" x14ac:dyDescent="0.25">
      <c r="A4" s="3" t="s">
        <v>15</v>
      </c>
      <c r="B4" s="6">
        <v>24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/>
      <c r="I4" s="6"/>
    </row>
    <row r="5" spans="1:9" x14ac:dyDescent="0.25">
      <c r="A5" s="3" t="s">
        <v>16</v>
      </c>
      <c r="B5" s="6">
        <v>0</v>
      </c>
      <c r="C5" s="6">
        <v>12</v>
      </c>
      <c r="D5" s="6">
        <v>28</v>
      </c>
      <c r="E5" s="6">
        <v>24</v>
      </c>
      <c r="F5" s="6">
        <v>20</v>
      </c>
      <c r="G5" s="6">
        <v>32</v>
      </c>
      <c r="H5" s="6">
        <v>28</v>
      </c>
      <c r="I5" s="6">
        <v>24</v>
      </c>
    </row>
    <row r="6" spans="1:9" x14ac:dyDescent="0.25">
      <c r="A6" s="3" t="s">
        <v>17</v>
      </c>
      <c r="B6" s="6">
        <v>800</v>
      </c>
      <c r="C6" s="6">
        <v>1600</v>
      </c>
      <c r="D6" s="6">
        <v>1600</v>
      </c>
      <c r="E6" s="6">
        <f>D6</f>
        <v>1600</v>
      </c>
      <c r="F6" s="6">
        <f>E6</f>
        <v>1600</v>
      </c>
      <c r="G6" s="6">
        <f>F6</f>
        <v>1600</v>
      </c>
      <c r="H6" s="6">
        <f>G6</f>
        <v>1600</v>
      </c>
      <c r="I6" s="6">
        <f>H6</f>
        <v>1600</v>
      </c>
    </row>
    <row r="7" spans="1:9" x14ac:dyDescent="0.25">
      <c r="A7" s="7" t="s">
        <v>18</v>
      </c>
      <c r="B7" s="8">
        <f>(B6*B4)+(B6*B5)</f>
        <v>19200</v>
      </c>
      <c r="C7" s="8">
        <f t="shared" ref="C7:H7" si="0">(C6*C4)+(C6*C5)</f>
        <v>19200</v>
      </c>
      <c r="D7" s="8">
        <f t="shared" si="0"/>
        <v>44800</v>
      </c>
      <c r="E7" s="8">
        <f t="shared" si="0"/>
        <v>38400</v>
      </c>
      <c r="F7" s="8">
        <f t="shared" si="0"/>
        <v>32000</v>
      </c>
      <c r="G7" s="9">
        <f t="shared" si="0"/>
        <v>51200</v>
      </c>
      <c r="H7" s="9">
        <f t="shared" si="0"/>
        <v>44800</v>
      </c>
      <c r="I7" s="9">
        <f t="shared" ref="I7" si="1">(I6*I4)+(I6*I5)</f>
        <v>38400</v>
      </c>
    </row>
    <row r="9" spans="1:9" x14ac:dyDescent="0.25">
      <c r="A9" s="10" t="s">
        <v>20</v>
      </c>
      <c r="B9" s="11" t="s">
        <v>21</v>
      </c>
    </row>
    <row r="10" spans="1:9" x14ac:dyDescent="0.25">
      <c r="A10" s="10" t="s">
        <v>22</v>
      </c>
    </row>
    <row r="11" spans="1:9" x14ac:dyDescent="0.25">
      <c r="A11" s="3" t="s">
        <v>24</v>
      </c>
      <c r="B11" s="12">
        <f>SUM(B7:I7)</f>
        <v>288000</v>
      </c>
    </row>
    <row r="12" spans="1:9" x14ac:dyDescent="0.25">
      <c r="A12" s="3" t="s">
        <v>23</v>
      </c>
      <c r="B12" s="6">
        <v>30000</v>
      </c>
    </row>
    <row r="13" spans="1:9" x14ac:dyDescent="0.25">
      <c r="A13" s="3" t="s">
        <v>25</v>
      </c>
      <c r="B13" s="12">
        <f>B14*B15</f>
        <v>25000</v>
      </c>
    </row>
    <row r="14" spans="1:9" x14ac:dyDescent="0.25">
      <c r="A14" s="13" t="s">
        <v>26</v>
      </c>
      <c r="B14" s="6">
        <v>5</v>
      </c>
    </row>
    <row r="15" spans="1:9" x14ac:dyDescent="0.25">
      <c r="A15" s="13" t="s">
        <v>27</v>
      </c>
      <c r="B15" s="6">
        <v>5000</v>
      </c>
    </row>
    <row r="16" spans="1:9" x14ac:dyDescent="0.25">
      <c r="A16" s="7" t="s">
        <v>28</v>
      </c>
      <c r="B16" s="14">
        <f>SUM(B11:B13)</f>
        <v>343000</v>
      </c>
    </row>
    <row r="17" spans="1:9" x14ac:dyDescent="0.25">
      <c r="A17" s="10" t="s">
        <v>29</v>
      </c>
    </row>
    <row r="18" spans="1:9" x14ac:dyDescent="0.25">
      <c r="A18" s="3" t="s">
        <v>33</v>
      </c>
      <c r="B18" s="15">
        <v>100000</v>
      </c>
    </row>
    <row r="19" spans="1:9" x14ac:dyDescent="0.25">
      <c r="A19" s="3" t="s">
        <v>30</v>
      </c>
      <c r="B19" s="12">
        <f>SUM(I32:I37)</f>
        <v>22800</v>
      </c>
    </row>
    <row r="20" spans="1:9" x14ac:dyDescent="0.25">
      <c r="A20" s="3" t="s">
        <v>31</v>
      </c>
      <c r="B20" s="15">
        <f>(120*15)+(155*15)</f>
        <v>4125</v>
      </c>
    </row>
    <row r="21" spans="1:9" x14ac:dyDescent="0.25">
      <c r="A21" s="3" t="s">
        <v>32</v>
      </c>
      <c r="B21" s="15">
        <f>B22*B23*B24</f>
        <v>14400</v>
      </c>
    </row>
    <row r="22" spans="1:9" outlineLevel="1" x14ac:dyDescent="0.25">
      <c r="A22" s="22" t="s">
        <v>57</v>
      </c>
      <c r="B22" s="23">
        <v>4</v>
      </c>
    </row>
    <row r="23" spans="1:9" outlineLevel="1" x14ac:dyDescent="0.25">
      <c r="A23" s="22" t="s">
        <v>58</v>
      </c>
      <c r="B23" s="23">
        <v>1200</v>
      </c>
    </row>
    <row r="24" spans="1:9" outlineLevel="1" x14ac:dyDescent="0.25">
      <c r="A24" s="22" t="s">
        <v>59</v>
      </c>
      <c r="B24" s="23">
        <v>3</v>
      </c>
    </row>
    <row r="25" spans="1:9" x14ac:dyDescent="0.25">
      <c r="A25" s="3" t="s">
        <v>34</v>
      </c>
      <c r="B25" s="6">
        <v>60000</v>
      </c>
    </row>
    <row r="26" spans="1:9" x14ac:dyDescent="0.25">
      <c r="A26" s="7" t="s">
        <v>44</v>
      </c>
      <c r="B26" s="14">
        <f>SUM(B18:B20,B21,B25)</f>
        <v>201325</v>
      </c>
    </row>
    <row r="27" spans="1:9" x14ac:dyDescent="0.25">
      <c r="A27" s="10" t="s">
        <v>45</v>
      </c>
      <c r="B27" s="16">
        <f>B16-B26</f>
        <v>141675</v>
      </c>
    </row>
    <row r="28" spans="1:9" x14ac:dyDescent="0.25">
      <c r="A28" s="17"/>
      <c r="B28" s="17"/>
      <c r="C28" s="17"/>
      <c r="D28" s="17"/>
    </row>
    <row r="29" spans="1:9" x14ac:dyDescent="0.25">
      <c r="A29" s="17"/>
      <c r="B29" s="17"/>
      <c r="C29" s="17"/>
      <c r="D29" s="17"/>
    </row>
    <row r="30" spans="1:9" x14ac:dyDescent="0.25">
      <c r="A30" s="2" t="s">
        <v>46</v>
      </c>
    </row>
    <row r="31" spans="1:9" x14ac:dyDescent="0.25">
      <c r="A31" s="18" t="s">
        <v>0</v>
      </c>
      <c r="B31" s="18" t="s">
        <v>1</v>
      </c>
      <c r="C31" s="18" t="s">
        <v>35</v>
      </c>
      <c r="D31" s="19" t="s">
        <v>2</v>
      </c>
      <c r="E31" s="19" t="s">
        <v>3</v>
      </c>
      <c r="F31" s="19" t="s">
        <v>4</v>
      </c>
      <c r="G31" s="19" t="s">
        <v>5</v>
      </c>
      <c r="H31" s="19" t="s">
        <v>42</v>
      </c>
      <c r="I31" s="19" t="s">
        <v>48</v>
      </c>
    </row>
    <row r="32" spans="1:9" x14ac:dyDescent="0.25">
      <c r="A32" s="3" t="s">
        <v>60</v>
      </c>
      <c r="B32" s="3" t="s">
        <v>61</v>
      </c>
      <c r="C32" s="3" t="s">
        <v>62</v>
      </c>
      <c r="D32" s="3">
        <v>3</v>
      </c>
      <c r="E32" s="3">
        <v>48</v>
      </c>
      <c r="F32" s="3">
        <v>10</v>
      </c>
      <c r="G32" s="20">
        <v>3</v>
      </c>
      <c r="H32" s="21">
        <v>400</v>
      </c>
      <c r="I32" s="15">
        <f t="shared" ref="I32:I37" si="2">H32*D32*G32</f>
        <v>3600</v>
      </c>
    </row>
    <row r="33" spans="1:9" x14ac:dyDescent="0.25">
      <c r="A33" s="3" t="str">
        <f>A32</f>
        <v>5th April</v>
      </c>
      <c r="B33" s="3" t="str">
        <f>B32</f>
        <v>Gawand Baug</v>
      </c>
      <c r="C33" s="3" t="s">
        <v>50</v>
      </c>
      <c r="D33" s="3">
        <v>3</v>
      </c>
      <c r="E33" s="3">
        <v>21</v>
      </c>
      <c r="F33" s="3">
        <v>13</v>
      </c>
      <c r="G33" s="20">
        <v>1</v>
      </c>
      <c r="H33" s="21">
        <v>400</v>
      </c>
      <c r="I33" s="15">
        <f t="shared" si="2"/>
        <v>1200</v>
      </c>
    </row>
    <row r="34" spans="1:9" x14ac:dyDescent="0.25">
      <c r="A34" s="3" t="str">
        <f>A33</f>
        <v>5th April</v>
      </c>
      <c r="B34" s="3" t="str">
        <f>B33</f>
        <v>Gawand Baug</v>
      </c>
      <c r="C34" s="3" t="s">
        <v>51</v>
      </c>
      <c r="D34" s="3">
        <v>3</v>
      </c>
      <c r="E34" s="3">
        <v>31</v>
      </c>
      <c r="F34" s="3">
        <v>10</v>
      </c>
      <c r="G34" s="20">
        <v>2</v>
      </c>
      <c r="H34" s="21">
        <v>400</v>
      </c>
      <c r="I34" s="15">
        <f t="shared" si="2"/>
        <v>2400</v>
      </c>
    </row>
    <row r="35" spans="1:9" x14ac:dyDescent="0.25">
      <c r="A35" s="3" t="s">
        <v>6</v>
      </c>
      <c r="B35" s="3" t="s">
        <v>36</v>
      </c>
      <c r="C35" s="3" t="s">
        <v>14</v>
      </c>
      <c r="D35" s="3">
        <v>2</v>
      </c>
      <c r="E35" s="3">
        <v>63</v>
      </c>
      <c r="F35" s="3">
        <v>13</v>
      </c>
      <c r="G35" s="20">
        <v>7</v>
      </c>
      <c r="H35" s="21">
        <v>400</v>
      </c>
      <c r="I35" s="15">
        <f t="shared" si="2"/>
        <v>5600</v>
      </c>
    </row>
    <row r="36" spans="1:9" x14ac:dyDescent="0.25">
      <c r="A36" s="3" t="s">
        <v>7</v>
      </c>
      <c r="B36" s="3" t="s">
        <v>36</v>
      </c>
      <c r="C36" s="3" t="s">
        <v>13</v>
      </c>
      <c r="D36" s="3">
        <v>2</v>
      </c>
      <c r="E36" s="3">
        <v>48</v>
      </c>
      <c r="F36" s="3">
        <v>13</v>
      </c>
      <c r="G36" s="20">
        <v>5.5</v>
      </c>
      <c r="H36" s="21">
        <v>400</v>
      </c>
      <c r="I36" s="15">
        <f t="shared" si="2"/>
        <v>4400</v>
      </c>
    </row>
    <row r="37" spans="1:9" x14ac:dyDescent="0.25">
      <c r="A37" s="3" t="s">
        <v>7</v>
      </c>
      <c r="B37" s="3" t="s">
        <v>36</v>
      </c>
      <c r="C37" s="3" t="s">
        <v>12</v>
      </c>
      <c r="D37" s="3">
        <v>2</v>
      </c>
      <c r="E37" s="3">
        <v>63</v>
      </c>
      <c r="F37" s="3">
        <v>13</v>
      </c>
      <c r="G37" s="20">
        <v>7</v>
      </c>
      <c r="H37" s="21">
        <v>400</v>
      </c>
      <c r="I37" s="15">
        <f t="shared" si="2"/>
        <v>5600</v>
      </c>
    </row>
  </sheetData>
  <pageMargins left="0.74803149606299213" right="0.74803149606299213" top="0.98425196850393704" bottom="0.98425196850393704" header="0.51181102362204722" footer="0.51181102362204722"/>
  <pageSetup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4C2D-B99B-401B-88FD-9C18731B159F}">
  <dimension ref="A1:J251"/>
  <sheetViews>
    <sheetView showGridLines="0" workbookViewId="0">
      <selection sqref="A1:J2"/>
    </sheetView>
  </sheetViews>
  <sheetFormatPr defaultRowHeight="10.5" x14ac:dyDescent="0.25"/>
  <cols>
    <col min="1" max="3" width="28" style="102" customWidth="1"/>
    <col min="4" max="5" width="17" style="102" customWidth="1"/>
    <col min="6" max="6" width="18" style="102" customWidth="1"/>
    <col min="7" max="7" width="9" style="102" customWidth="1"/>
    <col min="8" max="8" width="10.6328125" style="102" customWidth="1"/>
    <col min="9" max="9" width="40" style="102" customWidth="1"/>
    <col min="10" max="10" width="16.54296875" style="102" customWidth="1"/>
    <col min="11" max="11" width="13" style="102" customWidth="1"/>
    <col min="12" max="16384" width="8.7265625" style="102"/>
  </cols>
  <sheetData>
    <row r="1" spans="1:10" x14ac:dyDescent="0.25">
      <c r="A1" s="122" t="s">
        <v>492</v>
      </c>
      <c r="B1" s="123"/>
      <c r="C1" s="123"/>
      <c r="D1" s="123"/>
      <c r="E1" s="123"/>
      <c r="F1" s="123"/>
      <c r="G1" s="123"/>
      <c r="H1" s="123"/>
      <c r="I1" s="123"/>
      <c r="J1" s="124"/>
    </row>
    <row r="2" spans="1:10" ht="11" thickBot="1" x14ac:dyDescent="0.3">
      <c r="A2" s="128"/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1" thickBot="1" x14ac:dyDescent="0.3">
      <c r="A3" s="107" t="s">
        <v>10</v>
      </c>
      <c r="B3" s="107" t="s">
        <v>70</v>
      </c>
      <c r="C3" s="107" t="s">
        <v>484</v>
      </c>
      <c r="D3" s="107" t="s">
        <v>485</v>
      </c>
      <c r="E3" s="107" t="s">
        <v>486</v>
      </c>
      <c r="F3" s="107" t="s">
        <v>487</v>
      </c>
      <c r="G3" s="107" t="s">
        <v>488</v>
      </c>
      <c r="H3" s="107" t="s">
        <v>489</v>
      </c>
      <c r="I3" s="107" t="s">
        <v>490</v>
      </c>
      <c r="J3" s="107" t="s">
        <v>491</v>
      </c>
    </row>
    <row r="4" spans="1:10" ht="11" thickTop="1" x14ac:dyDescent="0.25">
      <c r="A4" s="102" t="str">
        <f>'Registrations'!A4</f>
        <v>Open Men Singles</v>
      </c>
      <c r="B4" s="108" t="str">
        <f>'Registrations'!E4</f>
        <v>Sanjay Gatti</v>
      </c>
      <c r="C4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24</v>
      </c>
      <c r="D4" s="102">
        <f ca="1">OpenSingles[[#This Row],[Wins]]*3</f>
        <v>18</v>
      </c>
      <c r="E4" s="102">
        <f ca="1">COUNTIF(Schedules[Team 1 Name], B4) + COUNTIF(Schedules[Team 2 Name], B4)</f>
        <v>6</v>
      </c>
      <c r="F4" s="102">
        <f ca="1">COUNTIFS(Schedules[Team 1 Name], B4, Schedules[Team 1 Outcome], "Win") + COUNTIFS(Schedules[Team 2 Name], B4, Schedules[Team 2 Outcome], "Win")</f>
        <v>6</v>
      </c>
      <c r="G4" s="115">
        <f ca="1">IFERROR(OpenSingles[[#This Row],[Wins]]/OpenSingles[[#This Row],[Matches Played]],0%)</f>
        <v>1</v>
      </c>
      <c r="H4" s="102">
        <f ca="1">SUMIFS(Schedules[Team 1 Score],Schedules[Team 1 Name],B4)+SUMIFS(Schedules[Team 2 Score],Schedules[Team 2 Name],B4)</f>
        <v>90</v>
      </c>
      <c r="I4" s="102">
        <f ca="1">SUMIFS(Schedules[Team 2 Score],Schedules[Team 1 Name],B4)+SUMIFS(Schedules[Team 1 Score],Schedules[Team 2 Name],B4)</f>
        <v>60</v>
      </c>
      <c r="J4" s="115">
        <f ca="1">IFERROR(OpenSingles[[#This Row],[Conceded Score]]/OpenSingles[[#This Row],[Total Score]],0%)</f>
        <v>0.66666666666666663</v>
      </c>
    </row>
    <row r="5" spans="1:10" x14ac:dyDescent="0.25">
      <c r="A5" s="102" t="str">
        <f>'Registrations'!A5</f>
        <v>Open Men Singles</v>
      </c>
      <c r="B5" s="108">
        <f>'Registrations'!E5</f>
        <v>0</v>
      </c>
      <c r="C5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5" s="102">
        <f ca="1">OpenSingles[[#This Row],[Wins]]*3</f>
        <v>987</v>
      </c>
      <c r="E5" s="102">
        <f ca="1">COUNTIF(Schedules[Team 1 Name], B5) + COUNTIF(Schedules[Team 2 Name], B5)</f>
        <v>756</v>
      </c>
      <c r="F5" s="102">
        <f ca="1">COUNTIFS(Schedules[Team 1 Name], B5, Schedules[Team 1 Outcome], "Win") + COUNTIFS(Schedules[Team 2 Name], B5, Schedules[Team 2 Outcome], "Win")</f>
        <v>329</v>
      </c>
      <c r="G5" s="115">
        <f ca="1">IFERROR(OpenSingles[[#This Row],[Wins]]/OpenSingles[[#This Row],[Matches Played]],0%)</f>
        <v>0.43518518518518517</v>
      </c>
      <c r="H5" s="102">
        <f ca="1">SUMIFS(Schedules[Team 1 Score],Schedules[Team 1 Name],B5)+SUMIFS(Schedules[Team 2 Score],Schedules[Team 2 Name],B5)</f>
        <v>9145</v>
      </c>
      <c r="I5" s="102">
        <f ca="1">SUMIFS(Schedules[Team 2 Score],Schedules[Team 1 Name],B5)+SUMIFS(Schedules[Team 1 Score],Schedules[Team 2 Name],B5)</f>
        <v>9605</v>
      </c>
      <c r="J5" s="115">
        <f ca="1">IFERROR(OpenSingles[[#This Row],[Conceded Score]]/OpenSingles[[#This Row],[Total Score]],0%)</f>
        <v>1.050300710770913</v>
      </c>
    </row>
    <row r="6" spans="1:10" x14ac:dyDescent="0.25">
      <c r="A6" s="102" t="str">
        <f>'Registrations'!A6</f>
        <v>Open Men Singles</v>
      </c>
      <c r="B6" s="108">
        <f>'Registrations'!E6</f>
        <v>0</v>
      </c>
      <c r="C6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6" s="102">
        <f ca="1">OpenSingles[[#This Row],[Wins]]*3</f>
        <v>987</v>
      </c>
      <c r="E6" s="102">
        <f ca="1">COUNTIF(Schedules[Team 1 Name], B6) + COUNTIF(Schedules[Team 2 Name], B6)</f>
        <v>756</v>
      </c>
      <c r="F6" s="102">
        <f ca="1">COUNTIFS(Schedules[Team 1 Name], B6, Schedules[Team 1 Outcome], "Win") + COUNTIFS(Schedules[Team 2 Name], B6, Schedules[Team 2 Outcome], "Win")</f>
        <v>329</v>
      </c>
      <c r="G6" s="115">
        <f ca="1">IFERROR(OpenSingles[[#This Row],[Wins]]/OpenSingles[[#This Row],[Matches Played]],0%)</f>
        <v>0.43518518518518517</v>
      </c>
      <c r="H6" s="102">
        <f ca="1">SUMIFS(Schedules[Team 1 Score],Schedules[Team 1 Name],B6)+SUMIFS(Schedules[Team 2 Score],Schedules[Team 2 Name],B6)</f>
        <v>9145</v>
      </c>
      <c r="I6" s="102">
        <f ca="1">SUMIFS(Schedules[Team 2 Score],Schedules[Team 1 Name],B6)+SUMIFS(Schedules[Team 1 Score],Schedules[Team 2 Name],B6)</f>
        <v>9605</v>
      </c>
      <c r="J6" s="115">
        <f ca="1">IFERROR(OpenSingles[[#This Row],[Conceded Score]]/OpenSingles[[#This Row],[Total Score]],0%)</f>
        <v>1.050300710770913</v>
      </c>
    </row>
    <row r="7" spans="1:10" x14ac:dyDescent="0.25">
      <c r="A7" s="102" t="str">
        <f>'Registrations'!A7</f>
        <v>Open Men Singles</v>
      </c>
      <c r="B7" s="108">
        <f>'Registrations'!E7</f>
        <v>0</v>
      </c>
      <c r="C7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7" s="102">
        <f ca="1">OpenSingles[[#This Row],[Wins]]*3</f>
        <v>987</v>
      </c>
      <c r="E7" s="102">
        <f ca="1">COUNTIF(Schedules[Team 1 Name], B7) + COUNTIF(Schedules[Team 2 Name], B7)</f>
        <v>756</v>
      </c>
      <c r="F7" s="102">
        <f ca="1">COUNTIFS(Schedules[Team 1 Name], B7, Schedules[Team 1 Outcome], "Win") + COUNTIFS(Schedules[Team 2 Name], B7, Schedules[Team 2 Outcome], "Win")</f>
        <v>329</v>
      </c>
      <c r="G7" s="115">
        <f ca="1">IFERROR(OpenSingles[[#This Row],[Wins]]/OpenSingles[[#This Row],[Matches Played]],0%)</f>
        <v>0.43518518518518517</v>
      </c>
      <c r="H7" s="102">
        <f ca="1">SUMIFS(Schedules[Team 1 Score],Schedules[Team 1 Name],B7)+SUMIFS(Schedules[Team 2 Score],Schedules[Team 2 Name],B7)</f>
        <v>9145</v>
      </c>
      <c r="I7" s="102">
        <f ca="1">SUMIFS(Schedules[Team 2 Score],Schedules[Team 1 Name],B7)+SUMIFS(Schedules[Team 1 Score],Schedules[Team 2 Name],B7)</f>
        <v>9605</v>
      </c>
      <c r="J7" s="115">
        <f ca="1">IFERROR(OpenSingles[[#This Row],[Conceded Score]]/OpenSingles[[#This Row],[Total Score]],0%)</f>
        <v>1.050300710770913</v>
      </c>
    </row>
    <row r="8" spans="1:10" x14ac:dyDescent="0.25">
      <c r="A8" s="102" t="str">
        <f>'Registrations'!A8</f>
        <v>Open Men Singles</v>
      </c>
      <c r="B8" s="108">
        <f>'Registrations'!E8</f>
        <v>0</v>
      </c>
      <c r="C8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8" s="102">
        <f ca="1">OpenSingles[[#This Row],[Wins]]*3</f>
        <v>987</v>
      </c>
      <c r="E8" s="102">
        <f ca="1">COUNTIF(Schedules[Team 1 Name], B8) + COUNTIF(Schedules[Team 2 Name], B8)</f>
        <v>756</v>
      </c>
      <c r="F8" s="102">
        <f ca="1">COUNTIFS(Schedules[Team 1 Name], B8, Schedules[Team 1 Outcome], "Win") + COUNTIFS(Schedules[Team 2 Name], B8, Schedules[Team 2 Outcome], "Win")</f>
        <v>329</v>
      </c>
      <c r="G8" s="115">
        <f ca="1">IFERROR(OpenSingles[[#This Row],[Wins]]/OpenSingles[[#This Row],[Matches Played]],0%)</f>
        <v>0.43518518518518517</v>
      </c>
      <c r="H8" s="102">
        <f ca="1">SUMIFS(Schedules[Team 1 Score],Schedules[Team 1 Name],B8)+SUMIFS(Schedules[Team 2 Score],Schedules[Team 2 Name],B8)</f>
        <v>9145</v>
      </c>
      <c r="I8" s="102">
        <f ca="1">SUMIFS(Schedules[Team 2 Score],Schedules[Team 1 Name],B8)+SUMIFS(Schedules[Team 1 Score],Schedules[Team 2 Name],B8)</f>
        <v>9605</v>
      </c>
      <c r="J8" s="115">
        <f ca="1">IFERROR(OpenSingles[[#This Row],[Conceded Score]]/OpenSingles[[#This Row],[Total Score]],0%)</f>
        <v>1.050300710770913</v>
      </c>
    </row>
    <row r="9" spans="1:10" x14ac:dyDescent="0.25">
      <c r="A9" s="102" t="str">
        <f>'Registrations'!A9</f>
        <v>Open Men Singles</v>
      </c>
      <c r="B9" s="108">
        <f>'Registrations'!E9</f>
        <v>0</v>
      </c>
      <c r="C9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9" s="102">
        <f ca="1">OpenSingles[[#This Row],[Wins]]*3</f>
        <v>987</v>
      </c>
      <c r="E9" s="102">
        <f ca="1">COUNTIF(Schedules[Team 1 Name], B9) + COUNTIF(Schedules[Team 2 Name], B9)</f>
        <v>756</v>
      </c>
      <c r="F9" s="102">
        <f ca="1">COUNTIFS(Schedules[Team 1 Name], B9, Schedules[Team 1 Outcome], "Win") + COUNTIFS(Schedules[Team 2 Name], B9, Schedules[Team 2 Outcome], "Win")</f>
        <v>329</v>
      </c>
      <c r="G9" s="115">
        <f ca="1">IFERROR(OpenSingles[[#This Row],[Wins]]/OpenSingles[[#This Row],[Matches Played]],0%)</f>
        <v>0.43518518518518517</v>
      </c>
      <c r="H9" s="102">
        <f ca="1">SUMIFS(Schedules[Team 1 Score],Schedules[Team 1 Name],B9)+SUMIFS(Schedules[Team 2 Score],Schedules[Team 2 Name],B9)</f>
        <v>9145</v>
      </c>
      <c r="I9" s="102">
        <f ca="1">SUMIFS(Schedules[Team 2 Score],Schedules[Team 1 Name],B9)+SUMIFS(Schedules[Team 1 Score],Schedules[Team 2 Name],B9)</f>
        <v>9605</v>
      </c>
      <c r="J9" s="115">
        <f ca="1">IFERROR(OpenSingles[[#This Row],[Conceded Score]]/OpenSingles[[#This Row],[Total Score]],0%)</f>
        <v>1.050300710770913</v>
      </c>
    </row>
    <row r="10" spans="1:10" x14ac:dyDescent="0.25">
      <c r="A10" s="102" t="str">
        <f>'Registrations'!A10</f>
        <v>Open Men Singles</v>
      </c>
      <c r="B10" s="108">
        <f>'Registrations'!E10</f>
        <v>0</v>
      </c>
      <c r="C10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0" s="102">
        <f ca="1">OpenSingles[[#This Row],[Wins]]*3</f>
        <v>987</v>
      </c>
      <c r="E10" s="102">
        <f ca="1">COUNTIF(Schedules[Team 1 Name], B10) + COUNTIF(Schedules[Team 2 Name], B10)</f>
        <v>756</v>
      </c>
      <c r="F10" s="102">
        <f ca="1">COUNTIFS(Schedules[Team 1 Name], B10, Schedules[Team 1 Outcome], "Win") + COUNTIFS(Schedules[Team 2 Name], B10, Schedules[Team 2 Outcome], "Win")</f>
        <v>329</v>
      </c>
      <c r="G10" s="115">
        <f ca="1">IFERROR(OpenSingles[[#This Row],[Wins]]/OpenSingles[[#This Row],[Matches Played]],0%)</f>
        <v>0.43518518518518517</v>
      </c>
      <c r="H10" s="102">
        <f ca="1">SUMIFS(Schedules[Team 1 Score],Schedules[Team 1 Name],B10)+SUMIFS(Schedules[Team 2 Score],Schedules[Team 2 Name],B10)</f>
        <v>9145</v>
      </c>
      <c r="I10" s="102">
        <f ca="1">SUMIFS(Schedules[Team 2 Score],Schedules[Team 1 Name],B10)+SUMIFS(Schedules[Team 1 Score],Schedules[Team 2 Name],B10)</f>
        <v>9605</v>
      </c>
      <c r="J10" s="115">
        <f ca="1">IFERROR(OpenSingles[[#This Row],[Conceded Score]]/OpenSingles[[#This Row],[Total Score]],0%)</f>
        <v>1.050300710770913</v>
      </c>
    </row>
    <row r="11" spans="1:10" x14ac:dyDescent="0.25">
      <c r="A11" s="102" t="str">
        <f>'Registrations'!A11</f>
        <v>Open Men Singles</v>
      </c>
      <c r="B11" s="108">
        <f>'Registrations'!E11</f>
        <v>0</v>
      </c>
      <c r="C11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1" s="102">
        <f ca="1">OpenSingles[[#This Row],[Wins]]*3</f>
        <v>987</v>
      </c>
      <c r="E11" s="102">
        <f ca="1">COUNTIF(Schedules[Team 1 Name], B11) + COUNTIF(Schedules[Team 2 Name], B11)</f>
        <v>756</v>
      </c>
      <c r="F11" s="102">
        <f ca="1">COUNTIFS(Schedules[Team 1 Name], B11, Schedules[Team 1 Outcome], "Win") + COUNTIFS(Schedules[Team 2 Name], B11, Schedules[Team 2 Outcome], "Win")</f>
        <v>329</v>
      </c>
      <c r="G11" s="115">
        <f ca="1">IFERROR(OpenSingles[[#This Row],[Wins]]/OpenSingles[[#This Row],[Matches Played]],0%)</f>
        <v>0.43518518518518517</v>
      </c>
      <c r="H11" s="102">
        <f ca="1">SUMIFS(Schedules[Team 1 Score],Schedules[Team 1 Name],B11)+SUMIFS(Schedules[Team 2 Score],Schedules[Team 2 Name],B11)</f>
        <v>9145</v>
      </c>
      <c r="I11" s="102">
        <f ca="1">SUMIFS(Schedules[Team 2 Score],Schedules[Team 1 Name],B11)+SUMIFS(Schedules[Team 1 Score],Schedules[Team 2 Name],B11)</f>
        <v>9605</v>
      </c>
      <c r="J11" s="115">
        <f ca="1">IFERROR(OpenSingles[[#This Row],[Conceded Score]]/OpenSingles[[#This Row],[Total Score]],0%)</f>
        <v>1.050300710770913</v>
      </c>
    </row>
    <row r="12" spans="1:10" x14ac:dyDescent="0.25">
      <c r="A12" s="102" t="str">
        <f>'Registrations'!A12</f>
        <v>Open Men Singles</v>
      </c>
      <c r="B12" s="108">
        <f>'Registrations'!E12</f>
        <v>0</v>
      </c>
      <c r="C12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2" s="102">
        <f ca="1">OpenSingles[[#This Row],[Wins]]*3</f>
        <v>987</v>
      </c>
      <c r="E12" s="102">
        <f ca="1">COUNTIF(Schedules[Team 1 Name], B12) + COUNTIF(Schedules[Team 2 Name], B12)</f>
        <v>756</v>
      </c>
      <c r="F12" s="102">
        <f ca="1">COUNTIFS(Schedules[Team 1 Name], B12, Schedules[Team 1 Outcome], "Win") + COUNTIFS(Schedules[Team 2 Name], B12, Schedules[Team 2 Outcome], "Win")</f>
        <v>329</v>
      </c>
      <c r="G12" s="115">
        <f ca="1">IFERROR(OpenSingles[[#This Row],[Wins]]/OpenSingles[[#This Row],[Matches Played]],0%)</f>
        <v>0.43518518518518517</v>
      </c>
      <c r="H12" s="102">
        <f ca="1">SUMIFS(Schedules[Team 1 Score],Schedules[Team 1 Name],B12)+SUMIFS(Schedules[Team 2 Score],Schedules[Team 2 Name],B12)</f>
        <v>9145</v>
      </c>
      <c r="I12" s="102">
        <f ca="1">SUMIFS(Schedules[Team 2 Score],Schedules[Team 1 Name],B12)+SUMIFS(Schedules[Team 1 Score],Schedules[Team 2 Name],B12)</f>
        <v>9605</v>
      </c>
      <c r="J12" s="115">
        <f ca="1">IFERROR(OpenSingles[[#This Row],[Conceded Score]]/OpenSingles[[#This Row],[Total Score]],0%)</f>
        <v>1.050300710770913</v>
      </c>
    </row>
    <row r="13" spans="1:10" x14ac:dyDescent="0.25">
      <c r="A13" s="102" t="str">
        <f>'Registrations'!A13</f>
        <v>Open Men Singles</v>
      </c>
      <c r="B13" s="108">
        <f>'Registrations'!E13</f>
        <v>0</v>
      </c>
      <c r="C13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3" s="102">
        <f ca="1">OpenSingles[[#This Row],[Wins]]*3</f>
        <v>987</v>
      </c>
      <c r="E13" s="102">
        <f ca="1">COUNTIF(Schedules[Team 1 Name], B13) + COUNTIF(Schedules[Team 2 Name], B13)</f>
        <v>756</v>
      </c>
      <c r="F13" s="102">
        <f ca="1">COUNTIFS(Schedules[Team 1 Name], B13, Schedules[Team 1 Outcome], "Win") + COUNTIFS(Schedules[Team 2 Name], B13, Schedules[Team 2 Outcome], "Win")</f>
        <v>329</v>
      </c>
      <c r="G13" s="115">
        <f ca="1">IFERROR(OpenSingles[[#This Row],[Wins]]/OpenSingles[[#This Row],[Matches Played]],0%)</f>
        <v>0.43518518518518517</v>
      </c>
      <c r="H13" s="102">
        <f ca="1">SUMIFS(Schedules[Team 1 Score],Schedules[Team 1 Name],B13)+SUMIFS(Schedules[Team 2 Score],Schedules[Team 2 Name],B13)</f>
        <v>9145</v>
      </c>
      <c r="I13" s="102">
        <f ca="1">SUMIFS(Schedules[Team 2 Score],Schedules[Team 1 Name],B13)+SUMIFS(Schedules[Team 1 Score],Schedules[Team 2 Name],B13)</f>
        <v>9605</v>
      </c>
      <c r="J13" s="115">
        <f ca="1">IFERROR(OpenSingles[[#This Row],[Conceded Score]]/OpenSingles[[#This Row],[Total Score]],0%)</f>
        <v>1.050300710770913</v>
      </c>
    </row>
    <row r="14" spans="1:10" x14ac:dyDescent="0.25">
      <c r="A14" s="102" t="str">
        <f>'Registrations'!A14</f>
        <v>Open Men Singles</v>
      </c>
      <c r="B14" s="108">
        <f>'Registrations'!E14</f>
        <v>0</v>
      </c>
      <c r="C14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4" s="102">
        <f ca="1">OpenSingles[[#This Row],[Wins]]*3</f>
        <v>987</v>
      </c>
      <c r="E14" s="102">
        <f ca="1">COUNTIF(Schedules[Team 1 Name], B14) + COUNTIF(Schedules[Team 2 Name], B14)</f>
        <v>756</v>
      </c>
      <c r="F14" s="102">
        <f ca="1">COUNTIFS(Schedules[Team 1 Name], B14, Schedules[Team 1 Outcome], "Win") + COUNTIFS(Schedules[Team 2 Name], B14, Schedules[Team 2 Outcome], "Win")</f>
        <v>329</v>
      </c>
      <c r="G14" s="115">
        <f ca="1">IFERROR(OpenSingles[[#This Row],[Wins]]/OpenSingles[[#This Row],[Matches Played]],0%)</f>
        <v>0.43518518518518517</v>
      </c>
      <c r="H14" s="102">
        <f ca="1">SUMIFS(Schedules[Team 1 Score],Schedules[Team 1 Name],B14)+SUMIFS(Schedules[Team 2 Score],Schedules[Team 2 Name],B14)</f>
        <v>9145</v>
      </c>
      <c r="I14" s="102">
        <f ca="1">SUMIFS(Schedules[Team 2 Score],Schedules[Team 1 Name],B14)+SUMIFS(Schedules[Team 1 Score],Schedules[Team 2 Name],B14)</f>
        <v>9605</v>
      </c>
      <c r="J14" s="115">
        <f ca="1">IFERROR(OpenSingles[[#This Row],[Conceded Score]]/OpenSingles[[#This Row],[Total Score]],0%)</f>
        <v>1.050300710770913</v>
      </c>
    </row>
    <row r="15" spans="1:10" x14ac:dyDescent="0.25">
      <c r="A15" s="102" t="str">
        <f>'Registrations'!A15</f>
        <v>Open Men Singles</v>
      </c>
      <c r="B15" s="108">
        <f>'Registrations'!E15</f>
        <v>0</v>
      </c>
      <c r="C15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5" s="102">
        <f ca="1">OpenSingles[[#This Row],[Wins]]*3</f>
        <v>987</v>
      </c>
      <c r="E15" s="102">
        <f ca="1">COUNTIF(Schedules[Team 1 Name], B15) + COUNTIF(Schedules[Team 2 Name], B15)</f>
        <v>756</v>
      </c>
      <c r="F15" s="102">
        <f ca="1">COUNTIFS(Schedules[Team 1 Name], B15, Schedules[Team 1 Outcome], "Win") + COUNTIFS(Schedules[Team 2 Name], B15, Schedules[Team 2 Outcome], "Win")</f>
        <v>329</v>
      </c>
      <c r="G15" s="115">
        <f ca="1">IFERROR(OpenSingles[[#This Row],[Wins]]/OpenSingles[[#This Row],[Matches Played]],0%)</f>
        <v>0.43518518518518517</v>
      </c>
      <c r="H15" s="102">
        <f ca="1">SUMIFS(Schedules[Team 1 Score],Schedules[Team 1 Name],B15)+SUMIFS(Schedules[Team 2 Score],Schedules[Team 2 Name],B15)</f>
        <v>9145</v>
      </c>
      <c r="I15" s="102">
        <f ca="1">SUMIFS(Schedules[Team 2 Score],Schedules[Team 1 Name],B15)+SUMIFS(Schedules[Team 1 Score],Schedules[Team 2 Name],B15)</f>
        <v>9605</v>
      </c>
      <c r="J15" s="115">
        <f ca="1">IFERROR(OpenSingles[[#This Row],[Conceded Score]]/OpenSingles[[#This Row],[Total Score]],0%)</f>
        <v>1.050300710770913</v>
      </c>
    </row>
    <row r="16" spans="1:10" x14ac:dyDescent="0.25">
      <c r="A16" s="102" t="str">
        <f>'Registrations'!A16</f>
        <v>Open Men Singles</v>
      </c>
      <c r="B16" s="108">
        <f>'Registrations'!E16</f>
        <v>0</v>
      </c>
      <c r="C16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6" s="102">
        <f ca="1">OpenSingles[[#This Row],[Wins]]*3</f>
        <v>987</v>
      </c>
      <c r="E16" s="102">
        <f ca="1">COUNTIF(Schedules[Team 1 Name], B16) + COUNTIF(Schedules[Team 2 Name], B16)</f>
        <v>756</v>
      </c>
      <c r="F16" s="102">
        <f ca="1">COUNTIFS(Schedules[Team 1 Name], B16, Schedules[Team 1 Outcome], "Win") + COUNTIFS(Schedules[Team 2 Name], B16, Schedules[Team 2 Outcome], "Win")</f>
        <v>329</v>
      </c>
      <c r="G16" s="115">
        <f ca="1">IFERROR(OpenSingles[[#This Row],[Wins]]/OpenSingles[[#This Row],[Matches Played]],0%)</f>
        <v>0.43518518518518517</v>
      </c>
      <c r="H16" s="102">
        <f ca="1">SUMIFS(Schedules[Team 1 Score],Schedules[Team 1 Name],B16)+SUMIFS(Schedules[Team 2 Score],Schedules[Team 2 Name],B16)</f>
        <v>9145</v>
      </c>
      <c r="I16" s="102">
        <f ca="1">SUMIFS(Schedules[Team 2 Score],Schedules[Team 1 Name],B16)+SUMIFS(Schedules[Team 1 Score],Schedules[Team 2 Name],B16)</f>
        <v>9605</v>
      </c>
      <c r="J16" s="115">
        <f ca="1">IFERROR(OpenSingles[[#This Row],[Conceded Score]]/OpenSingles[[#This Row],[Total Score]],0%)</f>
        <v>1.050300710770913</v>
      </c>
    </row>
    <row r="17" spans="1:10" x14ac:dyDescent="0.25">
      <c r="A17" s="102" t="str">
        <f>'Registrations'!A17</f>
        <v>Open Men Singles</v>
      </c>
      <c r="B17" s="108">
        <f>'Registrations'!E17</f>
        <v>0</v>
      </c>
      <c r="C17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7" s="102">
        <f ca="1">OpenSingles[[#This Row],[Wins]]*3</f>
        <v>987</v>
      </c>
      <c r="E17" s="102">
        <f ca="1">COUNTIF(Schedules[Team 1 Name], B17) + COUNTIF(Schedules[Team 2 Name], B17)</f>
        <v>756</v>
      </c>
      <c r="F17" s="102">
        <f ca="1">COUNTIFS(Schedules[Team 1 Name], B17, Schedules[Team 1 Outcome], "Win") + COUNTIFS(Schedules[Team 2 Name], B17, Schedules[Team 2 Outcome], "Win")</f>
        <v>329</v>
      </c>
      <c r="G17" s="115">
        <f ca="1">IFERROR(OpenSingles[[#This Row],[Wins]]/OpenSingles[[#This Row],[Matches Played]],0%)</f>
        <v>0.43518518518518517</v>
      </c>
      <c r="H17" s="102">
        <f ca="1">SUMIFS(Schedules[Team 1 Score],Schedules[Team 1 Name],B17)+SUMIFS(Schedules[Team 2 Score],Schedules[Team 2 Name],B17)</f>
        <v>9145</v>
      </c>
      <c r="I17" s="102">
        <f ca="1">SUMIFS(Schedules[Team 2 Score],Schedules[Team 1 Name],B17)+SUMIFS(Schedules[Team 1 Score],Schedules[Team 2 Name],B17)</f>
        <v>9605</v>
      </c>
      <c r="J17" s="115">
        <f ca="1">IFERROR(OpenSingles[[#This Row],[Conceded Score]]/OpenSingles[[#This Row],[Total Score]],0%)</f>
        <v>1.050300710770913</v>
      </c>
    </row>
    <row r="18" spans="1:10" x14ac:dyDescent="0.25">
      <c r="A18" s="102" t="str">
        <f>'Registrations'!A18</f>
        <v>Open Men Singles</v>
      </c>
      <c r="B18" s="108">
        <f>'Registrations'!E18</f>
        <v>0</v>
      </c>
      <c r="C18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8" s="102">
        <f ca="1">OpenSingles[[#This Row],[Wins]]*3</f>
        <v>987</v>
      </c>
      <c r="E18" s="102">
        <f ca="1">COUNTIF(Schedules[Team 1 Name], B18) + COUNTIF(Schedules[Team 2 Name], B18)</f>
        <v>756</v>
      </c>
      <c r="F18" s="102">
        <f ca="1">COUNTIFS(Schedules[Team 1 Name], B18, Schedules[Team 1 Outcome], "Win") + COUNTIFS(Schedules[Team 2 Name], B18, Schedules[Team 2 Outcome], "Win")</f>
        <v>329</v>
      </c>
      <c r="G18" s="115">
        <f ca="1">IFERROR(OpenSingles[[#This Row],[Wins]]/OpenSingles[[#This Row],[Matches Played]],0%)</f>
        <v>0.43518518518518517</v>
      </c>
      <c r="H18" s="102">
        <f ca="1">SUMIFS(Schedules[Team 1 Score],Schedules[Team 1 Name],B18)+SUMIFS(Schedules[Team 2 Score],Schedules[Team 2 Name],B18)</f>
        <v>9145</v>
      </c>
      <c r="I18" s="102">
        <f ca="1">SUMIFS(Schedules[Team 2 Score],Schedules[Team 1 Name],B18)+SUMIFS(Schedules[Team 1 Score],Schedules[Team 2 Name],B18)</f>
        <v>9605</v>
      </c>
      <c r="J18" s="115">
        <f ca="1">IFERROR(OpenSingles[[#This Row],[Conceded Score]]/OpenSingles[[#This Row],[Total Score]],0%)</f>
        <v>1.050300710770913</v>
      </c>
    </row>
    <row r="19" spans="1:10" x14ac:dyDescent="0.25">
      <c r="A19" s="102" t="str">
        <f>'Registrations'!A19</f>
        <v>Open Men Singles</v>
      </c>
      <c r="B19" s="108">
        <f>'Registrations'!E19</f>
        <v>0</v>
      </c>
      <c r="C19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19" s="102">
        <f ca="1">OpenSingles[[#This Row],[Wins]]*3</f>
        <v>987</v>
      </c>
      <c r="E19" s="102">
        <f ca="1">COUNTIF(Schedules[Team 1 Name], B19) + COUNTIF(Schedules[Team 2 Name], B19)</f>
        <v>756</v>
      </c>
      <c r="F19" s="102">
        <f ca="1">COUNTIFS(Schedules[Team 1 Name], B19, Schedules[Team 1 Outcome], "Win") + COUNTIFS(Schedules[Team 2 Name], B19, Schedules[Team 2 Outcome], "Win")</f>
        <v>329</v>
      </c>
      <c r="G19" s="115">
        <f ca="1">IFERROR(OpenSingles[[#This Row],[Wins]]/OpenSingles[[#This Row],[Matches Played]],0%)</f>
        <v>0.43518518518518517</v>
      </c>
      <c r="H19" s="102">
        <f ca="1">SUMIFS(Schedules[Team 1 Score],Schedules[Team 1 Name],B19)+SUMIFS(Schedules[Team 2 Score],Schedules[Team 2 Name],B19)</f>
        <v>9145</v>
      </c>
      <c r="I19" s="102">
        <f ca="1">SUMIFS(Schedules[Team 2 Score],Schedules[Team 1 Name],B19)+SUMIFS(Schedules[Team 1 Score],Schedules[Team 2 Name],B19)</f>
        <v>9605</v>
      </c>
      <c r="J19" s="115">
        <f ca="1">IFERROR(OpenSingles[[#This Row],[Conceded Score]]/OpenSingles[[#This Row],[Total Score]],0%)</f>
        <v>1.050300710770913</v>
      </c>
    </row>
    <row r="20" spans="1:10" x14ac:dyDescent="0.25">
      <c r="A20" s="102" t="str">
        <f>'Registrations'!A20</f>
        <v>Open Men Singles</v>
      </c>
      <c r="B20" s="108">
        <f>'Registrations'!E20</f>
        <v>0</v>
      </c>
      <c r="C20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0" s="102">
        <f ca="1">OpenSingles[[#This Row],[Wins]]*3</f>
        <v>987</v>
      </c>
      <c r="E20" s="102">
        <f ca="1">COUNTIF(Schedules[Team 1 Name], B20) + COUNTIF(Schedules[Team 2 Name], B20)</f>
        <v>756</v>
      </c>
      <c r="F20" s="102">
        <f ca="1">COUNTIFS(Schedules[Team 1 Name], B20, Schedules[Team 1 Outcome], "Win") + COUNTIFS(Schedules[Team 2 Name], B20, Schedules[Team 2 Outcome], "Win")</f>
        <v>329</v>
      </c>
      <c r="G20" s="115">
        <f ca="1">IFERROR(OpenSingles[[#This Row],[Wins]]/OpenSingles[[#This Row],[Matches Played]],0%)</f>
        <v>0.43518518518518517</v>
      </c>
      <c r="H20" s="102">
        <f ca="1">SUMIFS(Schedules[Team 1 Score],Schedules[Team 1 Name],B20)+SUMIFS(Schedules[Team 2 Score],Schedules[Team 2 Name],B20)</f>
        <v>9145</v>
      </c>
      <c r="I20" s="102">
        <f ca="1">SUMIFS(Schedules[Team 2 Score],Schedules[Team 1 Name],B20)+SUMIFS(Schedules[Team 1 Score],Schedules[Team 2 Name],B20)</f>
        <v>9605</v>
      </c>
      <c r="J20" s="115">
        <f ca="1">IFERROR(OpenSingles[[#This Row],[Conceded Score]]/OpenSingles[[#This Row],[Total Score]],0%)</f>
        <v>1.050300710770913</v>
      </c>
    </row>
    <row r="21" spans="1:10" x14ac:dyDescent="0.25">
      <c r="A21" s="102" t="str">
        <f>'Registrations'!A21</f>
        <v>Open Men Singles</v>
      </c>
      <c r="B21" s="108">
        <f>'Registrations'!E21</f>
        <v>0</v>
      </c>
      <c r="C21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1" s="102">
        <f ca="1">OpenSingles[[#This Row],[Wins]]*3</f>
        <v>987</v>
      </c>
      <c r="E21" s="102">
        <f ca="1">COUNTIF(Schedules[Team 1 Name], B21) + COUNTIF(Schedules[Team 2 Name], B21)</f>
        <v>756</v>
      </c>
      <c r="F21" s="102">
        <f ca="1">COUNTIFS(Schedules[Team 1 Name], B21, Schedules[Team 1 Outcome], "Win") + COUNTIFS(Schedules[Team 2 Name], B21, Schedules[Team 2 Outcome], "Win")</f>
        <v>329</v>
      </c>
      <c r="G21" s="115">
        <f ca="1">IFERROR(OpenSingles[[#This Row],[Wins]]/OpenSingles[[#This Row],[Matches Played]],0%)</f>
        <v>0.43518518518518517</v>
      </c>
      <c r="H21" s="102">
        <f ca="1">SUMIFS(Schedules[Team 1 Score],Schedules[Team 1 Name],B21)+SUMIFS(Schedules[Team 2 Score],Schedules[Team 2 Name],B21)</f>
        <v>9145</v>
      </c>
      <c r="I21" s="102">
        <f ca="1">SUMIFS(Schedules[Team 2 Score],Schedules[Team 1 Name],B21)+SUMIFS(Schedules[Team 1 Score],Schedules[Team 2 Name],B21)</f>
        <v>9605</v>
      </c>
      <c r="J21" s="115">
        <f ca="1">IFERROR(OpenSingles[[#This Row],[Conceded Score]]/OpenSingles[[#This Row],[Total Score]],0%)</f>
        <v>1.050300710770913</v>
      </c>
    </row>
    <row r="22" spans="1:10" x14ac:dyDescent="0.25">
      <c r="A22" s="102" t="str">
        <f>'Registrations'!A22</f>
        <v>Open Men Singles</v>
      </c>
      <c r="B22" s="108">
        <f>'Registrations'!E22</f>
        <v>0</v>
      </c>
      <c r="C22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2" s="102">
        <f ca="1">OpenSingles[[#This Row],[Wins]]*3</f>
        <v>987</v>
      </c>
      <c r="E22" s="102">
        <f ca="1">COUNTIF(Schedules[Team 1 Name], B22) + COUNTIF(Schedules[Team 2 Name], B22)</f>
        <v>756</v>
      </c>
      <c r="F22" s="102">
        <f ca="1">COUNTIFS(Schedules[Team 1 Name], B22, Schedules[Team 1 Outcome], "Win") + COUNTIFS(Schedules[Team 2 Name], B22, Schedules[Team 2 Outcome], "Win")</f>
        <v>329</v>
      </c>
      <c r="G22" s="115">
        <f ca="1">IFERROR(OpenSingles[[#This Row],[Wins]]/OpenSingles[[#This Row],[Matches Played]],0%)</f>
        <v>0.43518518518518517</v>
      </c>
      <c r="H22" s="102">
        <f ca="1">SUMIFS(Schedules[Team 1 Score],Schedules[Team 1 Name],B22)+SUMIFS(Schedules[Team 2 Score],Schedules[Team 2 Name],B22)</f>
        <v>9145</v>
      </c>
      <c r="I22" s="102">
        <f ca="1">SUMIFS(Schedules[Team 2 Score],Schedules[Team 1 Name],B22)+SUMIFS(Schedules[Team 1 Score],Schedules[Team 2 Name],B22)</f>
        <v>9605</v>
      </c>
      <c r="J22" s="115">
        <f ca="1">IFERROR(OpenSingles[[#This Row],[Conceded Score]]/OpenSingles[[#This Row],[Total Score]],0%)</f>
        <v>1.050300710770913</v>
      </c>
    </row>
    <row r="23" spans="1:10" x14ac:dyDescent="0.25">
      <c r="A23" s="102" t="str">
        <f>'Registrations'!A23</f>
        <v>Open Men Singles</v>
      </c>
      <c r="B23" s="108">
        <f>'Registrations'!E23</f>
        <v>0</v>
      </c>
      <c r="C23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3" s="102">
        <f ca="1">OpenSingles[[#This Row],[Wins]]*3</f>
        <v>987</v>
      </c>
      <c r="E23" s="102">
        <f ca="1">COUNTIF(Schedules[Team 1 Name], B23) + COUNTIF(Schedules[Team 2 Name], B23)</f>
        <v>756</v>
      </c>
      <c r="F23" s="102">
        <f ca="1">COUNTIFS(Schedules[Team 1 Name], B23, Schedules[Team 1 Outcome], "Win") + COUNTIFS(Schedules[Team 2 Name], B23, Schedules[Team 2 Outcome], "Win")</f>
        <v>329</v>
      </c>
      <c r="G23" s="115">
        <f ca="1">IFERROR(OpenSingles[[#This Row],[Wins]]/OpenSingles[[#This Row],[Matches Played]],0%)</f>
        <v>0.43518518518518517</v>
      </c>
      <c r="H23" s="102">
        <f ca="1">SUMIFS(Schedules[Team 1 Score],Schedules[Team 1 Name],B23)+SUMIFS(Schedules[Team 2 Score],Schedules[Team 2 Name],B23)</f>
        <v>9145</v>
      </c>
      <c r="I23" s="102">
        <f ca="1">SUMIFS(Schedules[Team 2 Score],Schedules[Team 1 Name],B23)+SUMIFS(Schedules[Team 1 Score],Schedules[Team 2 Name],B23)</f>
        <v>9605</v>
      </c>
      <c r="J23" s="115">
        <f ca="1">IFERROR(OpenSingles[[#This Row],[Conceded Score]]/OpenSingles[[#This Row],[Total Score]],0%)</f>
        <v>1.050300710770913</v>
      </c>
    </row>
    <row r="24" spans="1:10" x14ac:dyDescent="0.25">
      <c r="A24" s="102" t="str">
        <f>'Registrations'!A24</f>
        <v>Open Men Singles</v>
      </c>
      <c r="B24" s="108">
        <f>'Registrations'!E24</f>
        <v>0</v>
      </c>
      <c r="C24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4" s="102">
        <f ca="1">OpenSingles[[#This Row],[Wins]]*3</f>
        <v>987</v>
      </c>
      <c r="E24" s="102">
        <f ca="1">COUNTIF(Schedules[Team 1 Name], B24) + COUNTIF(Schedules[Team 2 Name], B24)</f>
        <v>756</v>
      </c>
      <c r="F24" s="102">
        <f ca="1">COUNTIFS(Schedules[Team 1 Name], B24, Schedules[Team 1 Outcome], "Win") + COUNTIFS(Schedules[Team 2 Name], B24, Schedules[Team 2 Outcome], "Win")</f>
        <v>329</v>
      </c>
      <c r="G24" s="115">
        <f ca="1">IFERROR(OpenSingles[[#This Row],[Wins]]/OpenSingles[[#This Row],[Matches Played]],0%)</f>
        <v>0.43518518518518517</v>
      </c>
      <c r="H24" s="102">
        <f ca="1">SUMIFS(Schedules[Team 1 Score],Schedules[Team 1 Name],B24)+SUMIFS(Schedules[Team 2 Score],Schedules[Team 2 Name],B24)</f>
        <v>9145</v>
      </c>
      <c r="I24" s="102">
        <f ca="1">SUMIFS(Schedules[Team 2 Score],Schedules[Team 1 Name],B24)+SUMIFS(Schedules[Team 1 Score],Schedules[Team 2 Name],B24)</f>
        <v>9605</v>
      </c>
      <c r="J24" s="115">
        <f ca="1">IFERROR(OpenSingles[[#This Row],[Conceded Score]]/OpenSingles[[#This Row],[Total Score]],0%)</f>
        <v>1.050300710770913</v>
      </c>
    </row>
    <row r="25" spans="1:10" x14ac:dyDescent="0.25">
      <c r="A25" s="102" t="str">
        <f>'Registrations'!A25</f>
        <v>Open Men Singles</v>
      </c>
      <c r="B25" s="108">
        <f>'Registrations'!E25</f>
        <v>0</v>
      </c>
      <c r="C25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5" s="102">
        <f ca="1">OpenSingles[[#This Row],[Wins]]*3</f>
        <v>987</v>
      </c>
      <c r="E25" s="102">
        <f ca="1">COUNTIF(Schedules[Team 1 Name], B25) + COUNTIF(Schedules[Team 2 Name], B25)</f>
        <v>756</v>
      </c>
      <c r="F25" s="102">
        <f ca="1">COUNTIFS(Schedules[Team 1 Name], B25, Schedules[Team 1 Outcome], "Win") + COUNTIFS(Schedules[Team 2 Name], B25, Schedules[Team 2 Outcome], "Win")</f>
        <v>329</v>
      </c>
      <c r="G25" s="115">
        <f ca="1">IFERROR(OpenSingles[[#This Row],[Wins]]/OpenSingles[[#This Row],[Matches Played]],0%)</f>
        <v>0.43518518518518517</v>
      </c>
      <c r="H25" s="102">
        <f ca="1">SUMIFS(Schedules[Team 1 Score],Schedules[Team 1 Name],B25)+SUMIFS(Schedules[Team 2 Score],Schedules[Team 2 Name],B25)</f>
        <v>9145</v>
      </c>
      <c r="I25" s="102">
        <f ca="1">SUMIFS(Schedules[Team 2 Score],Schedules[Team 1 Name],B25)+SUMIFS(Schedules[Team 1 Score],Schedules[Team 2 Name],B25)</f>
        <v>9605</v>
      </c>
      <c r="J25" s="115">
        <f ca="1">IFERROR(OpenSingles[[#This Row],[Conceded Score]]/OpenSingles[[#This Row],[Total Score]],0%)</f>
        <v>1.050300710770913</v>
      </c>
    </row>
    <row r="26" spans="1:10" x14ac:dyDescent="0.25">
      <c r="A26" s="102" t="str">
        <f>'Registrations'!A26</f>
        <v>Open Men Singles</v>
      </c>
      <c r="B26" s="108">
        <f>'Registrations'!E26</f>
        <v>0</v>
      </c>
      <c r="C26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6" s="102">
        <f ca="1">OpenSingles[[#This Row],[Wins]]*3</f>
        <v>987</v>
      </c>
      <c r="E26" s="102">
        <f ca="1">COUNTIF(Schedules[Team 1 Name], B26) + COUNTIF(Schedules[Team 2 Name], B26)</f>
        <v>756</v>
      </c>
      <c r="F26" s="102">
        <f ca="1">COUNTIFS(Schedules[Team 1 Name], B26, Schedules[Team 1 Outcome], "Win") + COUNTIFS(Schedules[Team 2 Name], B26, Schedules[Team 2 Outcome], "Win")</f>
        <v>329</v>
      </c>
      <c r="G26" s="115">
        <f ca="1">IFERROR(OpenSingles[[#This Row],[Wins]]/OpenSingles[[#This Row],[Matches Played]],0%)</f>
        <v>0.43518518518518517</v>
      </c>
      <c r="H26" s="102">
        <f ca="1">SUMIFS(Schedules[Team 1 Score],Schedules[Team 1 Name],B26)+SUMIFS(Schedules[Team 2 Score],Schedules[Team 2 Name],B26)</f>
        <v>9145</v>
      </c>
      <c r="I26" s="102">
        <f ca="1">SUMIFS(Schedules[Team 2 Score],Schedules[Team 1 Name],B26)+SUMIFS(Schedules[Team 1 Score],Schedules[Team 2 Name],B26)</f>
        <v>9605</v>
      </c>
      <c r="J26" s="115">
        <f ca="1">IFERROR(OpenSingles[[#This Row],[Conceded Score]]/OpenSingles[[#This Row],[Total Score]],0%)</f>
        <v>1.050300710770913</v>
      </c>
    </row>
    <row r="27" spans="1:10" x14ac:dyDescent="0.25">
      <c r="A27" s="102" t="str">
        <f>'Registrations'!A27</f>
        <v>Open Men Singles</v>
      </c>
      <c r="B27" s="108">
        <f>'Registrations'!E27</f>
        <v>0</v>
      </c>
      <c r="C27" s="102">
        <f ca="1">_xlfn.RANK.EQ(OpenSingles[[#This Row],[Points]],OpenSingles[Points],0)+COUNTIFS(OpenSingles[Points],OpenSingles[[#This Row],[Points]],OpenSingles[Concession ratio %],"&lt;"&amp;OpenSingles[[#This Row],[Concession ratio %]])+COUNTIFS(OpenSingles[Points],OpenSingles[[#This Row],[Points]],OpenSingles[Concession ratio %],OpenSingles[[#This Row],[Concession ratio %]],OpenSingles[Teams],"&lt;"&amp;OpenSingles[[#This Row],[Teams]])</f>
        <v>1</v>
      </c>
      <c r="D27" s="102">
        <f ca="1">OpenSingles[[#This Row],[Wins]]*3</f>
        <v>987</v>
      </c>
      <c r="E27" s="102">
        <f ca="1">COUNTIF(Schedules[Team 1 Name], B27) + COUNTIF(Schedules[Team 2 Name], B27)</f>
        <v>756</v>
      </c>
      <c r="F27" s="102">
        <f ca="1">COUNTIFS(Schedules[Team 1 Name], B27, Schedules[Team 1 Outcome], "Win") + COUNTIFS(Schedules[Team 2 Name], B27, Schedules[Team 2 Outcome], "Win")</f>
        <v>329</v>
      </c>
      <c r="G27" s="115">
        <f ca="1">IFERROR(OpenSingles[[#This Row],[Wins]]/OpenSingles[[#This Row],[Matches Played]],0%)</f>
        <v>0.43518518518518517</v>
      </c>
      <c r="H27" s="102">
        <f ca="1">SUMIFS(Schedules[Team 1 Score],Schedules[Team 1 Name],B27)+SUMIFS(Schedules[Team 2 Score],Schedules[Team 2 Name],B27)</f>
        <v>9145</v>
      </c>
      <c r="I27" s="102">
        <f ca="1">SUMIFS(Schedules[Team 2 Score],Schedules[Team 1 Name],B27)+SUMIFS(Schedules[Team 1 Score],Schedules[Team 2 Name],B27)</f>
        <v>9605</v>
      </c>
      <c r="J27" s="115">
        <f ca="1">IFERROR(OpenSingles[[#This Row],[Conceded Score]]/OpenSingles[[#This Row],[Total Score]],0%)</f>
        <v>1.050300710770913</v>
      </c>
    </row>
    <row r="28" spans="1:10" x14ac:dyDescent="0.25">
      <c r="B28" s="108"/>
      <c r="G28" s="115"/>
      <c r="J28" s="115"/>
    </row>
    <row r="29" spans="1:10" ht="11" thickBot="1" x14ac:dyDescent="0.3">
      <c r="B29" s="108"/>
      <c r="G29" s="115"/>
      <c r="J29" s="115"/>
    </row>
    <row r="30" spans="1:10" x14ac:dyDescent="0.25">
      <c r="A30" s="122" t="s">
        <v>493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0" ht="11" thickBot="1" x14ac:dyDescent="0.3">
      <c r="A31" s="128"/>
      <c r="B31" s="129"/>
      <c r="C31" s="129"/>
      <c r="D31" s="129"/>
      <c r="E31" s="129"/>
      <c r="F31" s="129"/>
      <c r="G31" s="129"/>
      <c r="H31" s="129"/>
      <c r="I31" s="129"/>
      <c r="J31" s="130"/>
    </row>
    <row r="32" spans="1:10" ht="11" thickBot="1" x14ac:dyDescent="0.3">
      <c r="A32" s="116" t="s">
        <v>10</v>
      </c>
      <c r="B32" s="116" t="s">
        <v>70</v>
      </c>
      <c r="C32" s="116" t="s">
        <v>484</v>
      </c>
      <c r="D32" s="116" t="s">
        <v>485</v>
      </c>
      <c r="E32" s="116" t="s">
        <v>486</v>
      </c>
      <c r="F32" s="116" t="s">
        <v>487</v>
      </c>
      <c r="G32" s="116" t="s">
        <v>488</v>
      </c>
      <c r="H32" s="116" t="s">
        <v>489</v>
      </c>
      <c r="I32" s="116" t="s">
        <v>490</v>
      </c>
      <c r="J32" s="107" t="s">
        <v>491</v>
      </c>
    </row>
    <row r="33" spans="1:10" ht="11" thickTop="1" x14ac:dyDescent="0.25">
      <c r="A33" s="102" t="str">
        <f>'Registrations'!A28</f>
        <v>Intermediate 35+ Split Doubles</v>
      </c>
      <c r="B33" s="108">
        <f>'Registrations'!E28</f>
        <v>0</v>
      </c>
      <c r="C33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33" s="102">
        <f ca="1">Int35SD[[#This Row],[Wins]]*3</f>
        <v>987</v>
      </c>
      <c r="E33" s="102">
        <f ca="1">COUNTIF(Schedules[Team 1 Name], B33) + COUNTIF(Schedules[Team 2 Name], B33)</f>
        <v>756</v>
      </c>
      <c r="F33" s="102">
        <f ca="1">COUNTIFS(Schedules[Team 1 Name], B33, Schedules[Team 1 Outcome], "Win") + COUNTIFS(Schedules[Team 2 Name], B33, Schedules[Team 2 Outcome], "Win")</f>
        <v>329</v>
      </c>
      <c r="G33" s="115">
        <f ca="1">IFERROR(Int35SD[[#This Row],[Wins]]/Int35SD[[#This Row],[Matches Played]],0%)</f>
        <v>0.43518518518518517</v>
      </c>
      <c r="H33" s="102">
        <f ca="1">SUMIFS(Schedules[Team 1 Score],Schedules[Team 1 Name],B33)+SUMIFS(Schedules[Team 2 Score],Schedules[Team 2 Name],B33)</f>
        <v>9145</v>
      </c>
      <c r="I33" s="102">
        <f ca="1">SUMIFS(Schedules[Team 2 Score],Schedules[Team 1 Name],B33)+SUMIFS(Schedules[Team 1 Score],Schedules[Team 2 Name],B33)</f>
        <v>9605</v>
      </c>
      <c r="J33" s="115">
        <f ca="1">IFERROR(Int35SD[[#This Row],[Conceded Score]]/Int35SD[[#This Row],[Total Score]],0%)</f>
        <v>1.050300710770913</v>
      </c>
    </row>
    <row r="34" spans="1:10" x14ac:dyDescent="0.25">
      <c r="A34" s="102" t="str">
        <f>'Registrations'!A29</f>
        <v>Intermediate 35+ Split Doubles</v>
      </c>
      <c r="B34" s="108">
        <f>'Registrations'!E29</f>
        <v>0</v>
      </c>
      <c r="C34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34" s="102">
        <f ca="1">Int35SD[[#This Row],[Wins]]*3</f>
        <v>987</v>
      </c>
      <c r="E34" s="102">
        <f ca="1">COUNTIF(Schedules[Team 1 Name], B34) + COUNTIF(Schedules[Team 2 Name], B34)</f>
        <v>756</v>
      </c>
      <c r="F34" s="102">
        <f ca="1">COUNTIFS(Schedules[Team 1 Name], B34, Schedules[Team 1 Outcome], "Win") + COUNTIFS(Schedules[Team 2 Name], B34, Schedules[Team 2 Outcome], "Win")</f>
        <v>329</v>
      </c>
      <c r="G34" s="115">
        <f ca="1">IFERROR(Int35SD[[#This Row],[Wins]]/Int35SD[[#This Row],[Matches Played]],0%)</f>
        <v>0.43518518518518517</v>
      </c>
      <c r="H34" s="102">
        <f ca="1">SUMIFS(Schedules[Team 1 Score],Schedules[Team 1 Name],B34)+SUMIFS(Schedules[Team 2 Score],Schedules[Team 2 Name],B34)</f>
        <v>9145</v>
      </c>
      <c r="I34" s="102">
        <f ca="1">SUMIFS(Schedules[Team 2 Score],Schedules[Team 1 Name],B34)+SUMIFS(Schedules[Team 1 Score],Schedules[Team 2 Name],B34)</f>
        <v>9605</v>
      </c>
      <c r="J34" s="115">
        <f ca="1">IFERROR(Int35SD[[#This Row],[Conceded Score]]/Int35SD[[#This Row],[Total Score]],0%)</f>
        <v>1.050300710770913</v>
      </c>
    </row>
    <row r="35" spans="1:10" x14ac:dyDescent="0.25">
      <c r="A35" s="102" t="str">
        <f>'Registrations'!A30</f>
        <v>Intermediate 35+ Split Doubles</v>
      </c>
      <c r="B35" s="108">
        <f>'Registrations'!E30</f>
        <v>0</v>
      </c>
      <c r="C35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35" s="102">
        <f ca="1">Int35SD[[#This Row],[Wins]]*3</f>
        <v>987</v>
      </c>
      <c r="E35" s="102">
        <f ca="1">COUNTIF(Schedules[Team 1 Name], B35) + COUNTIF(Schedules[Team 2 Name], B35)</f>
        <v>756</v>
      </c>
      <c r="F35" s="102">
        <f ca="1">COUNTIFS(Schedules[Team 1 Name], B35, Schedules[Team 1 Outcome], "Win") + COUNTIFS(Schedules[Team 2 Name], B35, Schedules[Team 2 Outcome], "Win")</f>
        <v>329</v>
      </c>
      <c r="G35" s="115">
        <f ca="1">IFERROR(Int35SD[[#This Row],[Wins]]/Int35SD[[#This Row],[Matches Played]],0%)</f>
        <v>0.43518518518518517</v>
      </c>
      <c r="H35" s="102">
        <f ca="1">SUMIFS(Schedules[Team 1 Score],Schedules[Team 1 Name],B35)+SUMIFS(Schedules[Team 2 Score],Schedules[Team 2 Name],B35)</f>
        <v>9145</v>
      </c>
      <c r="I35" s="102">
        <f ca="1">SUMIFS(Schedules[Team 2 Score],Schedules[Team 1 Name],B35)+SUMIFS(Schedules[Team 1 Score],Schedules[Team 2 Name],B35)</f>
        <v>9605</v>
      </c>
      <c r="J35" s="115">
        <f ca="1">IFERROR(Int35SD[[#This Row],[Conceded Score]]/Int35SD[[#This Row],[Total Score]],0%)</f>
        <v>1.050300710770913</v>
      </c>
    </row>
    <row r="36" spans="1:10" x14ac:dyDescent="0.25">
      <c r="A36" s="102" t="str">
        <f>'Registrations'!A31</f>
        <v>Intermediate 35+ Split Doubles</v>
      </c>
      <c r="B36" s="108">
        <f>'Registrations'!E31</f>
        <v>0</v>
      </c>
      <c r="C36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36" s="102">
        <f ca="1">Int35SD[[#This Row],[Wins]]*3</f>
        <v>987</v>
      </c>
      <c r="E36" s="102">
        <f ca="1">COUNTIF(Schedules[Team 1 Name], B36) + COUNTIF(Schedules[Team 2 Name], B36)</f>
        <v>756</v>
      </c>
      <c r="F36" s="102">
        <f ca="1">COUNTIFS(Schedules[Team 1 Name], B36, Schedules[Team 1 Outcome], "Win") + COUNTIFS(Schedules[Team 2 Name], B36, Schedules[Team 2 Outcome], "Win")</f>
        <v>329</v>
      </c>
      <c r="G36" s="115">
        <f ca="1">IFERROR(Int35SD[[#This Row],[Wins]]/Int35SD[[#This Row],[Matches Played]],0%)</f>
        <v>0.43518518518518517</v>
      </c>
      <c r="H36" s="102">
        <f ca="1">SUMIFS(Schedules[Team 1 Score],Schedules[Team 1 Name],B36)+SUMIFS(Schedules[Team 2 Score],Schedules[Team 2 Name],B36)</f>
        <v>9145</v>
      </c>
      <c r="I36" s="102">
        <f ca="1">SUMIFS(Schedules[Team 2 Score],Schedules[Team 1 Name],B36)+SUMIFS(Schedules[Team 1 Score],Schedules[Team 2 Name],B36)</f>
        <v>9605</v>
      </c>
      <c r="J36" s="115">
        <f ca="1">IFERROR(Int35SD[[#This Row],[Conceded Score]]/Int35SD[[#This Row],[Total Score]],0%)</f>
        <v>1.050300710770913</v>
      </c>
    </row>
    <row r="37" spans="1:10" x14ac:dyDescent="0.25">
      <c r="A37" s="102" t="str">
        <f>'Registrations'!A32</f>
        <v>Intermediate 35+ Split Doubles</v>
      </c>
      <c r="B37" s="108">
        <f>'Registrations'!E32</f>
        <v>0</v>
      </c>
      <c r="C37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37" s="102">
        <f ca="1">Int35SD[[#This Row],[Wins]]*3</f>
        <v>987</v>
      </c>
      <c r="E37" s="102">
        <f ca="1">COUNTIF(Schedules[Team 1 Name], B37) + COUNTIF(Schedules[Team 2 Name], B37)</f>
        <v>756</v>
      </c>
      <c r="F37" s="102">
        <f ca="1">COUNTIFS(Schedules[Team 1 Name], B37, Schedules[Team 1 Outcome], "Win") + COUNTIFS(Schedules[Team 2 Name], B37, Schedules[Team 2 Outcome], "Win")</f>
        <v>329</v>
      </c>
      <c r="G37" s="115">
        <f ca="1">IFERROR(Int35SD[[#This Row],[Wins]]/Int35SD[[#This Row],[Matches Played]],0%)</f>
        <v>0.43518518518518517</v>
      </c>
      <c r="H37" s="102">
        <f ca="1">SUMIFS(Schedules[Team 1 Score],Schedules[Team 1 Name],B37)+SUMIFS(Schedules[Team 2 Score],Schedules[Team 2 Name],B37)</f>
        <v>9145</v>
      </c>
      <c r="I37" s="102">
        <f ca="1">SUMIFS(Schedules[Team 2 Score],Schedules[Team 1 Name],B37)+SUMIFS(Schedules[Team 1 Score],Schedules[Team 2 Name],B37)</f>
        <v>9605</v>
      </c>
      <c r="J37" s="115">
        <f ca="1">IFERROR(Int35SD[[#This Row],[Conceded Score]]/Int35SD[[#This Row],[Total Score]],0%)</f>
        <v>1.050300710770913</v>
      </c>
    </row>
    <row r="38" spans="1:10" x14ac:dyDescent="0.25">
      <c r="A38" s="102" t="str">
        <f>'Registrations'!A33</f>
        <v>Intermediate 35+ Split Doubles</v>
      </c>
      <c r="B38" s="108">
        <f>'Registrations'!E33</f>
        <v>0</v>
      </c>
      <c r="C38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38" s="102">
        <f ca="1">Int35SD[[#This Row],[Wins]]*3</f>
        <v>987</v>
      </c>
      <c r="E38" s="102">
        <f ca="1">COUNTIF(Schedules[Team 1 Name], B38) + COUNTIF(Schedules[Team 2 Name], B38)</f>
        <v>756</v>
      </c>
      <c r="F38" s="102">
        <f ca="1">COUNTIFS(Schedules[Team 1 Name], B38, Schedules[Team 1 Outcome], "Win") + COUNTIFS(Schedules[Team 2 Name], B38, Schedules[Team 2 Outcome], "Win")</f>
        <v>329</v>
      </c>
      <c r="G38" s="115">
        <f ca="1">IFERROR(Int35SD[[#This Row],[Wins]]/Int35SD[[#This Row],[Matches Played]],0%)</f>
        <v>0.43518518518518517</v>
      </c>
      <c r="H38" s="102">
        <f ca="1">SUMIFS(Schedules[Team 1 Score],Schedules[Team 1 Name],B38)+SUMIFS(Schedules[Team 2 Score],Schedules[Team 2 Name],B38)</f>
        <v>9145</v>
      </c>
      <c r="I38" s="102">
        <f ca="1">SUMIFS(Schedules[Team 2 Score],Schedules[Team 1 Name],B38)+SUMIFS(Schedules[Team 1 Score],Schedules[Team 2 Name],B38)</f>
        <v>9605</v>
      </c>
      <c r="J38" s="115">
        <f ca="1">IFERROR(Int35SD[[#This Row],[Conceded Score]]/Int35SD[[#This Row],[Total Score]],0%)</f>
        <v>1.050300710770913</v>
      </c>
    </row>
    <row r="39" spans="1:10" x14ac:dyDescent="0.25">
      <c r="A39" s="102" t="str">
        <f>'Registrations'!A34</f>
        <v>Intermediate 35+ Split Doubles</v>
      </c>
      <c r="B39" s="108">
        <f>'Registrations'!E34</f>
        <v>0</v>
      </c>
      <c r="C39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39" s="102">
        <f ca="1">Int35SD[[#This Row],[Wins]]*3</f>
        <v>987</v>
      </c>
      <c r="E39" s="102">
        <f ca="1">COUNTIF(Schedules[Team 1 Name], B39) + COUNTIF(Schedules[Team 2 Name], B39)</f>
        <v>756</v>
      </c>
      <c r="F39" s="102">
        <f ca="1">COUNTIFS(Schedules[Team 1 Name], B39, Schedules[Team 1 Outcome], "Win") + COUNTIFS(Schedules[Team 2 Name], B39, Schedules[Team 2 Outcome], "Win")</f>
        <v>329</v>
      </c>
      <c r="G39" s="115">
        <f ca="1">IFERROR(Int35SD[[#This Row],[Wins]]/Int35SD[[#This Row],[Matches Played]],0%)</f>
        <v>0.43518518518518517</v>
      </c>
      <c r="H39" s="102">
        <f ca="1">SUMIFS(Schedules[Team 1 Score],Schedules[Team 1 Name],B39)+SUMIFS(Schedules[Team 2 Score],Schedules[Team 2 Name],B39)</f>
        <v>9145</v>
      </c>
      <c r="I39" s="102">
        <f ca="1">SUMIFS(Schedules[Team 2 Score],Schedules[Team 1 Name],B39)+SUMIFS(Schedules[Team 1 Score],Schedules[Team 2 Name],B39)</f>
        <v>9605</v>
      </c>
      <c r="J39" s="115">
        <f ca="1">IFERROR(Int35SD[[#This Row],[Conceded Score]]/Int35SD[[#This Row],[Total Score]],0%)</f>
        <v>1.050300710770913</v>
      </c>
    </row>
    <row r="40" spans="1:10" x14ac:dyDescent="0.25">
      <c r="A40" s="102" t="str">
        <f>'Registrations'!A35</f>
        <v>Intermediate 35+ Split Doubles</v>
      </c>
      <c r="B40" s="108">
        <f>'Registrations'!E35</f>
        <v>0</v>
      </c>
      <c r="C40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40" s="102">
        <f ca="1">Int35SD[[#This Row],[Wins]]*3</f>
        <v>987</v>
      </c>
      <c r="E40" s="102">
        <f ca="1">COUNTIF(Schedules[Team 1 Name], B40) + COUNTIF(Schedules[Team 2 Name], B40)</f>
        <v>756</v>
      </c>
      <c r="F40" s="102">
        <f ca="1">COUNTIFS(Schedules[Team 1 Name], B40, Schedules[Team 1 Outcome], "Win") + COUNTIFS(Schedules[Team 2 Name], B40, Schedules[Team 2 Outcome], "Win")</f>
        <v>329</v>
      </c>
      <c r="G40" s="115">
        <f ca="1">IFERROR(Int35SD[[#This Row],[Wins]]/Int35SD[[#This Row],[Matches Played]],0%)</f>
        <v>0.43518518518518517</v>
      </c>
      <c r="H40" s="102">
        <f ca="1">SUMIFS(Schedules[Team 1 Score],Schedules[Team 1 Name],B40)+SUMIFS(Schedules[Team 2 Score],Schedules[Team 2 Name],B40)</f>
        <v>9145</v>
      </c>
      <c r="I40" s="102">
        <f ca="1">SUMIFS(Schedules[Team 2 Score],Schedules[Team 1 Name],B40)+SUMIFS(Schedules[Team 1 Score],Schedules[Team 2 Name],B40)</f>
        <v>9605</v>
      </c>
      <c r="J40" s="115">
        <f ca="1">IFERROR(Int35SD[[#This Row],[Conceded Score]]/Int35SD[[#This Row],[Total Score]],0%)</f>
        <v>1.050300710770913</v>
      </c>
    </row>
    <row r="41" spans="1:10" x14ac:dyDescent="0.25">
      <c r="A41" s="102" t="str">
        <f>'Registrations'!A36</f>
        <v>Intermediate 35+ Split Doubles</v>
      </c>
      <c r="B41" s="108">
        <f>'Registrations'!E36</f>
        <v>0</v>
      </c>
      <c r="C41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41" s="102">
        <f ca="1">Int35SD[[#This Row],[Wins]]*3</f>
        <v>987</v>
      </c>
      <c r="E41" s="102">
        <f ca="1">COUNTIF(Schedules[Team 1 Name], B41) + COUNTIF(Schedules[Team 2 Name], B41)</f>
        <v>756</v>
      </c>
      <c r="F41" s="102">
        <f ca="1">COUNTIFS(Schedules[Team 1 Name], B41, Schedules[Team 1 Outcome], "Win") + COUNTIFS(Schedules[Team 2 Name], B41, Schedules[Team 2 Outcome], "Win")</f>
        <v>329</v>
      </c>
      <c r="G41" s="115">
        <f ca="1">IFERROR(Int35SD[[#This Row],[Wins]]/Int35SD[[#This Row],[Matches Played]],0%)</f>
        <v>0.43518518518518517</v>
      </c>
      <c r="H41" s="102">
        <f ca="1">SUMIFS(Schedules[Team 1 Score],Schedules[Team 1 Name],B41)+SUMIFS(Schedules[Team 2 Score],Schedules[Team 2 Name],B41)</f>
        <v>9145</v>
      </c>
      <c r="I41" s="102">
        <f ca="1">SUMIFS(Schedules[Team 2 Score],Schedules[Team 1 Name],B41)+SUMIFS(Schedules[Team 1 Score],Schedules[Team 2 Name],B41)</f>
        <v>9605</v>
      </c>
      <c r="J41" s="115">
        <f ca="1">IFERROR(Int35SD[[#This Row],[Conceded Score]]/Int35SD[[#This Row],[Total Score]],0%)</f>
        <v>1.050300710770913</v>
      </c>
    </row>
    <row r="42" spans="1:10" x14ac:dyDescent="0.25">
      <c r="A42" s="102" t="str">
        <f>'Registrations'!A37</f>
        <v>Intermediate 35+ Split Doubles</v>
      </c>
      <c r="B42" s="108">
        <f>'Registrations'!E37</f>
        <v>0</v>
      </c>
      <c r="C42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42" s="102">
        <f ca="1">Int35SD[[#This Row],[Wins]]*3</f>
        <v>987</v>
      </c>
      <c r="E42" s="102">
        <f ca="1">COUNTIF(Schedules[Team 1 Name], B42) + COUNTIF(Schedules[Team 2 Name], B42)</f>
        <v>756</v>
      </c>
      <c r="F42" s="102">
        <f ca="1">COUNTIFS(Schedules[Team 1 Name], B42, Schedules[Team 1 Outcome], "Win") + COUNTIFS(Schedules[Team 2 Name], B42, Schedules[Team 2 Outcome], "Win")</f>
        <v>329</v>
      </c>
      <c r="G42" s="115">
        <f ca="1">IFERROR(Int35SD[[#This Row],[Wins]]/Int35SD[[#This Row],[Matches Played]],0%)</f>
        <v>0.43518518518518517</v>
      </c>
      <c r="H42" s="102">
        <f ca="1">SUMIFS(Schedules[Team 1 Score],Schedules[Team 1 Name],B42)+SUMIFS(Schedules[Team 2 Score],Schedules[Team 2 Name],B42)</f>
        <v>9145</v>
      </c>
      <c r="I42" s="102">
        <f ca="1">SUMIFS(Schedules[Team 2 Score],Schedules[Team 1 Name],B42)+SUMIFS(Schedules[Team 1 Score],Schedules[Team 2 Name],B42)</f>
        <v>9605</v>
      </c>
      <c r="J42" s="115">
        <f ca="1">IFERROR(Int35SD[[#This Row],[Conceded Score]]/Int35SD[[#This Row],[Total Score]],0%)</f>
        <v>1.050300710770913</v>
      </c>
    </row>
    <row r="43" spans="1:10" x14ac:dyDescent="0.25">
      <c r="A43" s="102" t="str">
        <f>'Registrations'!A38</f>
        <v>Intermediate 35+ Split Doubles</v>
      </c>
      <c r="B43" s="108">
        <f>'Registrations'!E38</f>
        <v>0</v>
      </c>
      <c r="C43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43" s="102">
        <f ca="1">Int35SD[[#This Row],[Wins]]*3</f>
        <v>987</v>
      </c>
      <c r="E43" s="102">
        <f ca="1">COUNTIF(Schedules[Team 1 Name], B43) + COUNTIF(Schedules[Team 2 Name], B43)</f>
        <v>756</v>
      </c>
      <c r="F43" s="102">
        <f ca="1">COUNTIFS(Schedules[Team 1 Name], B43, Schedules[Team 1 Outcome], "Win") + COUNTIFS(Schedules[Team 2 Name], B43, Schedules[Team 2 Outcome], "Win")</f>
        <v>329</v>
      </c>
      <c r="G43" s="115">
        <f ca="1">IFERROR(Int35SD[[#This Row],[Wins]]/Int35SD[[#This Row],[Matches Played]],0%)</f>
        <v>0.43518518518518517</v>
      </c>
      <c r="H43" s="102">
        <f ca="1">SUMIFS(Schedules[Team 1 Score],Schedules[Team 1 Name],B43)+SUMIFS(Schedules[Team 2 Score],Schedules[Team 2 Name],B43)</f>
        <v>9145</v>
      </c>
      <c r="I43" s="102">
        <f ca="1">SUMIFS(Schedules[Team 2 Score],Schedules[Team 1 Name],B43)+SUMIFS(Schedules[Team 1 Score],Schedules[Team 2 Name],B43)</f>
        <v>9605</v>
      </c>
      <c r="J43" s="115">
        <f ca="1">IFERROR(Int35SD[[#This Row],[Conceded Score]]/Int35SD[[#This Row],[Total Score]],0%)</f>
        <v>1.050300710770913</v>
      </c>
    </row>
    <row r="44" spans="1:10" x14ac:dyDescent="0.25">
      <c r="A44" s="102" t="str">
        <f>'Registrations'!A39</f>
        <v>Intermediate 35+ Split Doubles</v>
      </c>
      <c r="B44" s="108">
        <f>'Registrations'!E39</f>
        <v>0</v>
      </c>
      <c r="C44" s="102">
        <f ca="1">_xlfn.RANK.EQ(Int35SD[[#This Row],[Points]],Int35SD[Points],0)+COUNTIFS(Int35SD[Points],Int35SD[[#This Row],[Points]],Int35SD[Concession ratio %],"&lt;"&amp;Int35SD[[#This Row],[Concession ratio %]])+COUNTIFS(Int35SD[Points],Int35SD[[#This Row],[Points]],Int35SD[Concession ratio %],Int35SD[[#This Row],[Concession ratio %]],Int35SD[Teams],"&lt;"&amp;Int35SD[[#This Row],[Teams]])</f>
        <v>1</v>
      </c>
      <c r="D44" s="102">
        <f ca="1">Int35SD[[#This Row],[Wins]]*3</f>
        <v>987</v>
      </c>
      <c r="E44" s="102">
        <f ca="1">COUNTIF(Schedules[Team 1 Name], B44) + COUNTIF(Schedules[Team 2 Name], B44)</f>
        <v>756</v>
      </c>
      <c r="F44" s="102">
        <f ca="1">COUNTIFS(Schedules[Team 1 Name], B44, Schedules[Team 1 Outcome], "Win") + COUNTIFS(Schedules[Team 2 Name], B44, Schedules[Team 2 Outcome], "Win")</f>
        <v>329</v>
      </c>
      <c r="G44" s="115">
        <f ca="1">IFERROR(Int35SD[[#This Row],[Wins]]/Int35SD[[#This Row],[Matches Played]],0%)</f>
        <v>0.43518518518518517</v>
      </c>
      <c r="H44" s="102">
        <f ca="1">SUMIFS(Schedules[Team 1 Score],Schedules[Team 1 Name],B44)+SUMIFS(Schedules[Team 2 Score],Schedules[Team 2 Name],B44)</f>
        <v>9145</v>
      </c>
      <c r="I44" s="102">
        <f ca="1">SUMIFS(Schedules[Team 2 Score],Schedules[Team 1 Name],B44)+SUMIFS(Schedules[Team 1 Score],Schedules[Team 2 Name],B44)</f>
        <v>9605</v>
      </c>
      <c r="J44" s="115">
        <f ca="1">IFERROR(Int35SD[[#This Row],[Conceded Score]]/Int35SD[[#This Row],[Total Score]],0%)</f>
        <v>1.050300710770913</v>
      </c>
    </row>
    <row r="45" spans="1:10" x14ac:dyDescent="0.25">
      <c r="B45" s="108"/>
      <c r="G45" s="115"/>
      <c r="J45" s="115"/>
    </row>
    <row r="46" spans="1:10" ht="11" thickBot="1" x14ac:dyDescent="0.3">
      <c r="B46" s="108"/>
      <c r="G46" s="115"/>
      <c r="J46" s="115"/>
    </row>
    <row r="47" spans="1:10" x14ac:dyDescent="0.25">
      <c r="A47" s="122" t="s">
        <v>493</v>
      </c>
      <c r="B47" s="123"/>
      <c r="C47" s="123"/>
      <c r="D47" s="123"/>
      <c r="E47" s="123"/>
      <c r="F47" s="123"/>
      <c r="G47" s="123"/>
      <c r="H47" s="123"/>
      <c r="I47" s="123"/>
      <c r="J47" s="124"/>
    </row>
    <row r="48" spans="1:10" x14ac:dyDescent="0.25">
      <c r="A48" s="125"/>
      <c r="B48" s="126"/>
      <c r="C48" s="126"/>
      <c r="D48" s="126"/>
      <c r="E48" s="126"/>
      <c r="F48" s="126"/>
      <c r="G48" s="126"/>
      <c r="H48" s="126"/>
      <c r="I48" s="126"/>
      <c r="J48" s="127"/>
    </row>
    <row r="49" spans="1:10" ht="11" thickBot="1" x14ac:dyDescent="0.3">
      <c r="A49" s="116" t="s">
        <v>10</v>
      </c>
      <c r="B49" s="116" t="s">
        <v>70</v>
      </c>
      <c r="C49" s="116" t="s">
        <v>484</v>
      </c>
      <c r="D49" s="116" t="s">
        <v>485</v>
      </c>
      <c r="E49" s="116" t="s">
        <v>486</v>
      </c>
      <c r="F49" s="116" t="s">
        <v>487</v>
      </c>
      <c r="G49" s="116" t="s">
        <v>488</v>
      </c>
      <c r="H49" s="116" t="s">
        <v>489</v>
      </c>
      <c r="I49" s="116" t="s">
        <v>490</v>
      </c>
      <c r="J49" s="107" t="s">
        <v>491</v>
      </c>
    </row>
    <row r="50" spans="1:10" ht="11" thickTop="1" x14ac:dyDescent="0.25">
      <c r="A50" s="102" t="str">
        <f>'Registrations'!A40</f>
        <v>Int Men Doubles</v>
      </c>
      <c r="B50" s="108">
        <f>'Registrations'!E40</f>
        <v>0</v>
      </c>
      <c r="C50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0" s="102">
        <f ca="1">IntMenDoubles[[#This Row],[Wins]]*3</f>
        <v>987</v>
      </c>
      <c r="E50" s="102">
        <f ca="1">COUNTIF(Schedules[Team 1 Name], B50) + COUNTIF(Schedules[Team 2 Name], B50)</f>
        <v>756</v>
      </c>
      <c r="F50" s="102">
        <f ca="1">COUNTIFS(Schedules[Team 1 Name], B50, Schedules[Team 1 Outcome], "Win") + COUNTIFS(Schedules[Team 2 Name], B50, Schedules[Team 2 Outcome], "Win")</f>
        <v>329</v>
      </c>
      <c r="G50" s="115">
        <f>IFERROR(OpenSingles[[#This Row],[Wins]]/OpenSingles[[#This Row],[Matches Played]],0%)</f>
        <v>0</v>
      </c>
      <c r="H50" s="102">
        <f ca="1">SUMIFS(Schedules[Team 1 Score],Schedules[Team 1 Name],B50)+SUMIFS(Schedules[Team 2 Score],Schedules[Team 2 Name],B50)</f>
        <v>9145</v>
      </c>
      <c r="I50" s="102">
        <f ca="1">SUMIFS(Schedules[Team 2 Score],Schedules[Team 1 Name],B50)+SUMIFS(Schedules[Team 1 Score],Schedules[Team 2 Name],B50)</f>
        <v>9605</v>
      </c>
      <c r="J50" s="115">
        <f ca="1">IFERROR(IntMenDoubles[[#This Row],[Conceded Score]]/IntMenDoubles[[#This Row],[Total Score]],0%)</f>
        <v>1.050300710770913</v>
      </c>
    </row>
    <row r="51" spans="1:10" x14ac:dyDescent="0.25">
      <c r="A51" s="102" t="str">
        <f>'Registrations'!A41</f>
        <v>Int Men Doubles</v>
      </c>
      <c r="B51" s="108">
        <f>'Registrations'!E41</f>
        <v>0</v>
      </c>
      <c r="C51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1" s="102">
        <f ca="1">IntMenDoubles[[#This Row],[Wins]]*3</f>
        <v>987</v>
      </c>
      <c r="E51" s="102">
        <f ca="1">COUNTIF(Schedules[Team 1 Name], B51) + COUNTIF(Schedules[Team 2 Name], B51)</f>
        <v>756</v>
      </c>
      <c r="F51" s="102">
        <f ca="1">COUNTIFS(Schedules[Team 1 Name], B51, Schedules[Team 1 Outcome], "Win") + COUNTIFS(Schedules[Team 2 Name], B51, Schedules[Team 2 Outcome], "Win")</f>
        <v>329</v>
      </c>
      <c r="G51" s="115">
        <f>IFERROR(OpenSingles[[#This Row],[Wins]]/OpenSingles[[#This Row],[Matches Played]],0%)</f>
        <v>0</v>
      </c>
      <c r="H51" s="102">
        <f ca="1">SUMIFS(Schedules[Team 1 Score],Schedules[Team 1 Name],B51)+SUMIFS(Schedules[Team 2 Score],Schedules[Team 2 Name],B51)</f>
        <v>9145</v>
      </c>
      <c r="I51" s="102">
        <f ca="1">SUMIFS(Schedules[Team 2 Score],Schedules[Team 1 Name],B51)+SUMIFS(Schedules[Team 1 Score],Schedules[Team 2 Name],B51)</f>
        <v>9605</v>
      </c>
      <c r="J51" s="115">
        <f ca="1">IFERROR(IntMenDoubles[[#This Row],[Conceded Score]]/IntMenDoubles[[#This Row],[Total Score]],0%)</f>
        <v>1.050300710770913</v>
      </c>
    </row>
    <row r="52" spans="1:10" x14ac:dyDescent="0.25">
      <c r="A52" s="102" t="str">
        <f>'Registrations'!A42</f>
        <v>Int Men Doubles</v>
      </c>
      <c r="B52" s="108">
        <f>'Registrations'!E42</f>
        <v>0</v>
      </c>
      <c r="C52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2" s="102">
        <f ca="1">IntMenDoubles[[#This Row],[Wins]]*3</f>
        <v>987</v>
      </c>
      <c r="E52" s="102">
        <f ca="1">COUNTIF(Schedules[Team 1 Name], B52) + COUNTIF(Schedules[Team 2 Name], B52)</f>
        <v>756</v>
      </c>
      <c r="F52" s="102">
        <f ca="1">COUNTIFS(Schedules[Team 1 Name], B52, Schedules[Team 1 Outcome], "Win") + COUNTIFS(Schedules[Team 2 Name], B52, Schedules[Team 2 Outcome], "Win")</f>
        <v>329</v>
      </c>
      <c r="G52" s="115">
        <f>IFERROR(OpenSingles[[#This Row],[Wins]]/OpenSingles[[#This Row],[Matches Played]],0%)</f>
        <v>0</v>
      </c>
      <c r="H52" s="102">
        <f ca="1">SUMIFS(Schedules[Team 1 Score],Schedules[Team 1 Name],B52)+SUMIFS(Schedules[Team 2 Score],Schedules[Team 2 Name],B52)</f>
        <v>9145</v>
      </c>
      <c r="I52" s="102">
        <f ca="1">SUMIFS(Schedules[Team 2 Score],Schedules[Team 1 Name],B52)+SUMIFS(Schedules[Team 1 Score],Schedules[Team 2 Name],B52)</f>
        <v>9605</v>
      </c>
      <c r="J52" s="115">
        <f ca="1">IFERROR(IntMenDoubles[[#This Row],[Conceded Score]]/IntMenDoubles[[#This Row],[Total Score]],0%)</f>
        <v>1.050300710770913</v>
      </c>
    </row>
    <row r="53" spans="1:10" x14ac:dyDescent="0.25">
      <c r="A53" s="102" t="str">
        <f>'Registrations'!A43</f>
        <v>Int Men Doubles</v>
      </c>
      <c r="B53" s="108">
        <f>'Registrations'!E43</f>
        <v>0</v>
      </c>
      <c r="C53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3" s="102">
        <f ca="1">IntMenDoubles[[#This Row],[Wins]]*3</f>
        <v>987</v>
      </c>
      <c r="E53" s="102">
        <f ca="1">COUNTIF(Schedules[Team 1 Name], B53) + COUNTIF(Schedules[Team 2 Name], B53)</f>
        <v>756</v>
      </c>
      <c r="F53" s="102">
        <f ca="1">COUNTIFS(Schedules[Team 1 Name], B53, Schedules[Team 1 Outcome], "Win") + COUNTIFS(Schedules[Team 2 Name], B53, Schedules[Team 2 Outcome], "Win")</f>
        <v>329</v>
      </c>
      <c r="G53" s="115">
        <f>IFERROR(OpenSingles[[#This Row],[Wins]]/OpenSingles[[#This Row],[Matches Played]],0%)</f>
        <v>0</v>
      </c>
      <c r="H53" s="102">
        <f ca="1">SUMIFS(Schedules[Team 1 Score],Schedules[Team 1 Name],B53)+SUMIFS(Schedules[Team 2 Score],Schedules[Team 2 Name],B53)</f>
        <v>9145</v>
      </c>
      <c r="I53" s="102">
        <f ca="1">SUMIFS(Schedules[Team 2 Score],Schedules[Team 1 Name],B53)+SUMIFS(Schedules[Team 1 Score],Schedules[Team 2 Name],B53)</f>
        <v>9605</v>
      </c>
      <c r="J53" s="115">
        <f ca="1">IFERROR(IntMenDoubles[[#This Row],[Conceded Score]]/IntMenDoubles[[#This Row],[Total Score]],0%)</f>
        <v>1.050300710770913</v>
      </c>
    </row>
    <row r="54" spans="1:10" x14ac:dyDescent="0.25">
      <c r="A54" s="102" t="str">
        <f>'Registrations'!A44</f>
        <v>Int Men Doubles</v>
      </c>
      <c r="B54" s="108">
        <f>'Registrations'!E44</f>
        <v>0</v>
      </c>
      <c r="C54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4" s="102">
        <f ca="1">IntMenDoubles[[#This Row],[Wins]]*3</f>
        <v>987</v>
      </c>
      <c r="E54" s="102">
        <f ca="1">COUNTIF(Schedules[Team 1 Name], B54) + COUNTIF(Schedules[Team 2 Name], B54)</f>
        <v>756</v>
      </c>
      <c r="F54" s="102">
        <f ca="1">COUNTIFS(Schedules[Team 1 Name], B54, Schedules[Team 1 Outcome], "Win") + COUNTIFS(Schedules[Team 2 Name], B54, Schedules[Team 2 Outcome], "Win")</f>
        <v>329</v>
      </c>
      <c r="G54" s="115">
        <f>IFERROR(OpenSingles[[#This Row],[Wins]]/OpenSingles[[#This Row],[Matches Played]],0%)</f>
        <v>0</v>
      </c>
      <c r="H54" s="102">
        <f ca="1">SUMIFS(Schedules[Team 1 Score],Schedules[Team 1 Name],B54)+SUMIFS(Schedules[Team 2 Score],Schedules[Team 2 Name],B54)</f>
        <v>9145</v>
      </c>
      <c r="I54" s="102">
        <f ca="1">SUMIFS(Schedules[Team 2 Score],Schedules[Team 1 Name],B54)+SUMIFS(Schedules[Team 1 Score],Schedules[Team 2 Name],B54)</f>
        <v>9605</v>
      </c>
      <c r="J54" s="115">
        <f ca="1">IFERROR(IntMenDoubles[[#This Row],[Conceded Score]]/IntMenDoubles[[#This Row],[Total Score]],0%)</f>
        <v>1.050300710770913</v>
      </c>
    </row>
    <row r="55" spans="1:10" x14ac:dyDescent="0.25">
      <c r="A55" s="102" t="str">
        <f>'Registrations'!A45</f>
        <v>Int Men Doubles</v>
      </c>
      <c r="B55" s="108">
        <f>'Registrations'!E45</f>
        <v>0</v>
      </c>
      <c r="C55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5" s="102">
        <f ca="1">IntMenDoubles[[#This Row],[Wins]]*3</f>
        <v>987</v>
      </c>
      <c r="E55" s="102">
        <f ca="1">COUNTIF(Schedules[Team 1 Name], B55) + COUNTIF(Schedules[Team 2 Name], B55)</f>
        <v>756</v>
      </c>
      <c r="F55" s="102">
        <f ca="1">COUNTIFS(Schedules[Team 1 Name], B55, Schedules[Team 1 Outcome], "Win") + COUNTIFS(Schedules[Team 2 Name], B55, Schedules[Team 2 Outcome], "Win")</f>
        <v>329</v>
      </c>
      <c r="G55" s="115">
        <f>IFERROR(OpenSingles[[#This Row],[Wins]]/OpenSingles[[#This Row],[Matches Played]],0%)</f>
        <v>0</v>
      </c>
      <c r="H55" s="102">
        <f ca="1">SUMIFS(Schedules[Team 1 Score],Schedules[Team 1 Name],B55)+SUMIFS(Schedules[Team 2 Score],Schedules[Team 2 Name],B55)</f>
        <v>9145</v>
      </c>
      <c r="I55" s="102">
        <f ca="1">SUMIFS(Schedules[Team 2 Score],Schedules[Team 1 Name],B55)+SUMIFS(Schedules[Team 1 Score],Schedules[Team 2 Name],B55)</f>
        <v>9605</v>
      </c>
      <c r="J55" s="115">
        <f ca="1">IFERROR(IntMenDoubles[[#This Row],[Conceded Score]]/IntMenDoubles[[#This Row],[Total Score]],0%)</f>
        <v>1.050300710770913</v>
      </c>
    </row>
    <row r="56" spans="1:10" x14ac:dyDescent="0.25">
      <c r="A56" s="102" t="str">
        <f>'Registrations'!A46</f>
        <v>Int Men Doubles</v>
      </c>
      <c r="B56" s="108">
        <f>'Registrations'!E46</f>
        <v>0</v>
      </c>
      <c r="C56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6" s="102">
        <f ca="1">IntMenDoubles[[#This Row],[Wins]]*3</f>
        <v>987</v>
      </c>
      <c r="E56" s="102">
        <f ca="1">COUNTIF(Schedules[Team 1 Name], B56) + COUNTIF(Schedules[Team 2 Name], B56)</f>
        <v>756</v>
      </c>
      <c r="F56" s="102">
        <f ca="1">COUNTIFS(Schedules[Team 1 Name], B56, Schedules[Team 1 Outcome], "Win") + COUNTIFS(Schedules[Team 2 Name], B56, Schedules[Team 2 Outcome], "Win")</f>
        <v>329</v>
      </c>
      <c r="G56" s="115">
        <f>IFERROR(OpenSingles[[#This Row],[Wins]]/OpenSingles[[#This Row],[Matches Played]],0%)</f>
        <v>0</v>
      </c>
      <c r="H56" s="102">
        <f ca="1">SUMIFS(Schedules[Team 1 Score],Schedules[Team 1 Name],B56)+SUMIFS(Schedules[Team 2 Score],Schedules[Team 2 Name],B56)</f>
        <v>9145</v>
      </c>
      <c r="I56" s="102">
        <f ca="1">SUMIFS(Schedules[Team 2 Score],Schedules[Team 1 Name],B56)+SUMIFS(Schedules[Team 1 Score],Schedules[Team 2 Name],B56)</f>
        <v>9605</v>
      </c>
      <c r="J56" s="115">
        <f ca="1">IFERROR(IntMenDoubles[[#This Row],[Conceded Score]]/IntMenDoubles[[#This Row],[Total Score]],0%)</f>
        <v>1.050300710770913</v>
      </c>
    </row>
    <row r="57" spans="1:10" x14ac:dyDescent="0.25">
      <c r="A57" s="102" t="str">
        <f>'Registrations'!A47</f>
        <v>Int Men Doubles</v>
      </c>
      <c r="B57" s="108">
        <f>'Registrations'!E47</f>
        <v>0</v>
      </c>
      <c r="C57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7" s="102">
        <f ca="1">IntMenDoubles[[#This Row],[Wins]]*3</f>
        <v>987</v>
      </c>
      <c r="E57" s="102">
        <f ca="1">COUNTIF(Schedules[Team 1 Name], B57) + COUNTIF(Schedules[Team 2 Name], B57)</f>
        <v>756</v>
      </c>
      <c r="F57" s="102">
        <f ca="1">COUNTIFS(Schedules[Team 1 Name], B57, Schedules[Team 1 Outcome], "Win") + COUNTIFS(Schedules[Team 2 Name], B57, Schedules[Team 2 Outcome], "Win")</f>
        <v>329</v>
      </c>
      <c r="G57" s="115">
        <f>IFERROR(OpenSingles[[#This Row],[Wins]]/OpenSingles[[#This Row],[Matches Played]],0%)</f>
        <v>0</v>
      </c>
      <c r="H57" s="102">
        <f ca="1">SUMIFS(Schedules[Team 1 Score],Schedules[Team 1 Name],B57)+SUMIFS(Schedules[Team 2 Score],Schedules[Team 2 Name],B57)</f>
        <v>9145</v>
      </c>
      <c r="I57" s="102">
        <f ca="1">SUMIFS(Schedules[Team 2 Score],Schedules[Team 1 Name],B57)+SUMIFS(Schedules[Team 1 Score],Schedules[Team 2 Name],B57)</f>
        <v>9605</v>
      </c>
      <c r="J57" s="115">
        <f ca="1">IFERROR(IntMenDoubles[[#This Row],[Conceded Score]]/IntMenDoubles[[#This Row],[Total Score]],0%)</f>
        <v>1.050300710770913</v>
      </c>
    </row>
    <row r="58" spans="1:10" x14ac:dyDescent="0.25">
      <c r="A58" s="102" t="str">
        <f>'Registrations'!A48</f>
        <v>Int Men Doubles</v>
      </c>
      <c r="B58" s="108">
        <f>'Registrations'!E48</f>
        <v>0</v>
      </c>
      <c r="C58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8" s="102">
        <f ca="1">IntMenDoubles[[#This Row],[Wins]]*3</f>
        <v>987</v>
      </c>
      <c r="E58" s="102">
        <f ca="1">COUNTIF(Schedules[Team 1 Name], B58) + COUNTIF(Schedules[Team 2 Name], B58)</f>
        <v>756</v>
      </c>
      <c r="F58" s="102">
        <f ca="1">COUNTIFS(Schedules[Team 1 Name], B58, Schedules[Team 1 Outcome], "Win") + COUNTIFS(Schedules[Team 2 Name], B58, Schedules[Team 2 Outcome], "Win")</f>
        <v>329</v>
      </c>
      <c r="G58" s="115">
        <f>IFERROR(OpenSingles[[#This Row],[Wins]]/OpenSingles[[#This Row],[Matches Played]],0%)</f>
        <v>0</v>
      </c>
      <c r="H58" s="102">
        <f ca="1">SUMIFS(Schedules[Team 1 Score],Schedules[Team 1 Name],B58)+SUMIFS(Schedules[Team 2 Score],Schedules[Team 2 Name],B58)</f>
        <v>9145</v>
      </c>
      <c r="I58" s="102">
        <f ca="1">SUMIFS(Schedules[Team 2 Score],Schedules[Team 1 Name],B58)+SUMIFS(Schedules[Team 1 Score],Schedules[Team 2 Name],B58)</f>
        <v>9605</v>
      </c>
      <c r="J58" s="115">
        <f ca="1">IFERROR(IntMenDoubles[[#This Row],[Conceded Score]]/IntMenDoubles[[#This Row],[Total Score]],0%)</f>
        <v>1.050300710770913</v>
      </c>
    </row>
    <row r="59" spans="1:10" x14ac:dyDescent="0.25">
      <c r="A59" s="102" t="str">
        <f>'Registrations'!A49</f>
        <v>Int Men Doubles</v>
      </c>
      <c r="B59" s="108">
        <f>'Registrations'!E49</f>
        <v>0</v>
      </c>
      <c r="C59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59" s="102">
        <f ca="1">IntMenDoubles[[#This Row],[Wins]]*3</f>
        <v>987</v>
      </c>
      <c r="E59" s="102">
        <f ca="1">COUNTIF(Schedules[Team 1 Name], B59) + COUNTIF(Schedules[Team 2 Name], B59)</f>
        <v>756</v>
      </c>
      <c r="F59" s="102">
        <f ca="1">COUNTIFS(Schedules[Team 1 Name], B59, Schedules[Team 1 Outcome], "Win") + COUNTIFS(Schedules[Team 2 Name], B59, Schedules[Team 2 Outcome], "Win")</f>
        <v>329</v>
      </c>
      <c r="G59" s="115">
        <f>IFERROR(OpenSingles[[#This Row],[Wins]]/OpenSingles[[#This Row],[Matches Played]],0%)</f>
        <v>0</v>
      </c>
      <c r="H59" s="102">
        <f ca="1">SUMIFS(Schedules[Team 1 Score],Schedules[Team 1 Name],B59)+SUMIFS(Schedules[Team 2 Score],Schedules[Team 2 Name],B59)</f>
        <v>9145</v>
      </c>
      <c r="I59" s="102">
        <f ca="1">SUMIFS(Schedules[Team 2 Score],Schedules[Team 1 Name],B59)+SUMIFS(Schedules[Team 1 Score],Schedules[Team 2 Name],B59)</f>
        <v>9605</v>
      </c>
      <c r="J59" s="115">
        <f ca="1">IFERROR(IntMenDoubles[[#This Row],[Conceded Score]]/IntMenDoubles[[#This Row],[Total Score]],0%)</f>
        <v>1.050300710770913</v>
      </c>
    </row>
    <row r="60" spans="1:10" x14ac:dyDescent="0.25">
      <c r="A60" s="102" t="str">
        <f>'Registrations'!A50</f>
        <v>Int Men Doubles</v>
      </c>
      <c r="B60" s="108">
        <f>'Registrations'!E50</f>
        <v>0</v>
      </c>
      <c r="C60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0" s="102">
        <f ca="1">IntMenDoubles[[#This Row],[Wins]]*3</f>
        <v>987</v>
      </c>
      <c r="E60" s="102">
        <f ca="1">COUNTIF(Schedules[Team 1 Name], B60) + COUNTIF(Schedules[Team 2 Name], B60)</f>
        <v>756</v>
      </c>
      <c r="F60" s="102">
        <f ca="1">COUNTIFS(Schedules[Team 1 Name], B60, Schedules[Team 1 Outcome], "Win") + COUNTIFS(Schedules[Team 2 Name], B60, Schedules[Team 2 Outcome], "Win")</f>
        <v>329</v>
      </c>
      <c r="G60" s="115">
        <f>IFERROR(OpenSingles[[#This Row],[Wins]]/OpenSingles[[#This Row],[Matches Played]],0%)</f>
        <v>0</v>
      </c>
      <c r="H60" s="102">
        <f ca="1">SUMIFS(Schedules[Team 1 Score],Schedules[Team 1 Name],B60)+SUMIFS(Schedules[Team 2 Score],Schedules[Team 2 Name],B60)</f>
        <v>9145</v>
      </c>
      <c r="I60" s="102">
        <f ca="1">SUMIFS(Schedules[Team 2 Score],Schedules[Team 1 Name],B60)+SUMIFS(Schedules[Team 1 Score],Schedules[Team 2 Name],B60)</f>
        <v>9605</v>
      </c>
      <c r="J60" s="115">
        <f ca="1">IFERROR(IntMenDoubles[[#This Row],[Conceded Score]]/IntMenDoubles[[#This Row],[Total Score]],0%)</f>
        <v>1.050300710770913</v>
      </c>
    </row>
    <row r="61" spans="1:10" x14ac:dyDescent="0.25">
      <c r="A61" s="102" t="str">
        <f>'Registrations'!A51</f>
        <v>Int Men Doubles</v>
      </c>
      <c r="B61" s="108">
        <f>'Registrations'!E51</f>
        <v>0</v>
      </c>
      <c r="C61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1" s="102">
        <f ca="1">IntMenDoubles[[#This Row],[Wins]]*3</f>
        <v>987</v>
      </c>
      <c r="E61" s="102">
        <f ca="1">COUNTIF(Schedules[Team 1 Name], B61) + COUNTIF(Schedules[Team 2 Name], B61)</f>
        <v>756</v>
      </c>
      <c r="F61" s="102">
        <f ca="1">COUNTIFS(Schedules[Team 1 Name], B61, Schedules[Team 1 Outcome], "Win") + COUNTIFS(Schedules[Team 2 Name], B61, Schedules[Team 2 Outcome], "Win")</f>
        <v>329</v>
      </c>
      <c r="G61" s="115">
        <f>IFERROR(OpenSingles[[#This Row],[Wins]]/OpenSingles[[#This Row],[Matches Played]],0%)</f>
        <v>0</v>
      </c>
      <c r="H61" s="102">
        <f ca="1">SUMIFS(Schedules[Team 1 Score],Schedules[Team 1 Name],B61)+SUMIFS(Schedules[Team 2 Score],Schedules[Team 2 Name],B61)</f>
        <v>9145</v>
      </c>
      <c r="I61" s="102">
        <f ca="1">SUMIFS(Schedules[Team 2 Score],Schedules[Team 1 Name],B61)+SUMIFS(Schedules[Team 1 Score],Schedules[Team 2 Name],B61)</f>
        <v>9605</v>
      </c>
      <c r="J61" s="115">
        <f ca="1">IFERROR(IntMenDoubles[[#This Row],[Conceded Score]]/IntMenDoubles[[#This Row],[Total Score]],0%)</f>
        <v>1.050300710770913</v>
      </c>
    </row>
    <row r="62" spans="1:10" x14ac:dyDescent="0.25">
      <c r="A62" s="102" t="str">
        <f>'Registrations'!A52</f>
        <v>Int Men Doubles</v>
      </c>
      <c r="B62" s="108">
        <f>'Registrations'!E52</f>
        <v>0</v>
      </c>
      <c r="C62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2" s="102">
        <f ca="1">IntMenDoubles[[#This Row],[Wins]]*3</f>
        <v>987</v>
      </c>
      <c r="E62" s="102">
        <f ca="1">COUNTIF(Schedules[Team 1 Name], B62) + COUNTIF(Schedules[Team 2 Name], B62)</f>
        <v>756</v>
      </c>
      <c r="F62" s="102">
        <f ca="1">COUNTIFS(Schedules[Team 1 Name], B62, Schedules[Team 1 Outcome], "Win") + COUNTIFS(Schedules[Team 2 Name], B62, Schedules[Team 2 Outcome], "Win")</f>
        <v>329</v>
      </c>
      <c r="G62" s="115">
        <f>IFERROR(OpenSingles[[#This Row],[Wins]]/OpenSingles[[#This Row],[Matches Played]],0%)</f>
        <v>0</v>
      </c>
      <c r="H62" s="102">
        <f ca="1">SUMIFS(Schedules[Team 1 Score],Schedules[Team 1 Name],B62)+SUMIFS(Schedules[Team 2 Score],Schedules[Team 2 Name],B62)</f>
        <v>9145</v>
      </c>
      <c r="I62" s="102">
        <f ca="1">SUMIFS(Schedules[Team 2 Score],Schedules[Team 1 Name],B62)+SUMIFS(Schedules[Team 1 Score],Schedules[Team 2 Name],B62)</f>
        <v>9605</v>
      </c>
      <c r="J62" s="115">
        <f ca="1">IFERROR(IntMenDoubles[[#This Row],[Conceded Score]]/IntMenDoubles[[#This Row],[Total Score]],0%)</f>
        <v>1.050300710770913</v>
      </c>
    </row>
    <row r="63" spans="1:10" x14ac:dyDescent="0.25">
      <c r="A63" s="102" t="str">
        <f>'Registrations'!A53</f>
        <v>Int Men Doubles</v>
      </c>
      <c r="B63" s="108">
        <f>'Registrations'!E53</f>
        <v>0</v>
      </c>
      <c r="C63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3" s="102">
        <f ca="1">IntMenDoubles[[#This Row],[Wins]]*3</f>
        <v>987</v>
      </c>
      <c r="E63" s="102">
        <f ca="1">COUNTIF(Schedules[Team 1 Name], B63) + COUNTIF(Schedules[Team 2 Name], B63)</f>
        <v>756</v>
      </c>
      <c r="F63" s="102">
        <f ca="1">COUNTIFS(Schedules[Team 1 Name], B63, Schedules[Team 1 Outcome], "Win") + COUNTIFS(Schedules[Team 2 Name], B63, Schedules[Team 2 Outcome], "Win")</f>
        <v>329</v>
      </c>
      <c r="G63" s="115">
        <f>IFERROR(OpenSingles[[#This Row],[Wins]]/OpenSingles[[#This Row],[Matches Played]],0%)</f>
        <v>0</v>
      </c>
      <c r="H63" s="102">
        <f ca="1">SUMIFS(Schedules[Team 1 Score],Schedules[Team 1 Name],B63)+SUMIFS(Schedules[Team 2 Score],Schedules[Team 2 Name],B63)</f>
        <v>9145</v>
      </c>
      <c r="I63" s="102">
        <f ca="1">SUMIFS(Schedules[Team 2 Score],Schedules[Team 1 Name],B63)+SUMIFS(Schedules[Team 1 Score],Schedules[Team 2 Name],B63)</f>
        <v>9605</v>
      </c>
      <c r="J63" s="115">
        <f ca="1">IFERROR(IntMenDoubles[[#This Row],[Conceded Score]]/IntMenDoubles[[#This Row],[Total Score]],0%)</f>
        <v>1.050300710770913</v>
      </c>
    </row>
    <row r="64" spans="1:10" x14ac:dyDescent="0.25">
      <c r="A64" s="102" t="str">
        <f>'Registrations'!A54</f>
        <v>Int Men Doubles</v>
      </c>
      <c r="B64" s="108">
        <f>'Registrations'!E54</f>
        <v>0</v>
      </c>
      <c r="C64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4" s="102">
        <f ca="1">IntMenDoubles[[#This Row],[Wins]]*3</f>
        <v>987</v>
      </c>
      <c r="E64" s="102">
        <f ca="1">COUNTIF(Schedules[Team 1 Name], B64) + COUNTIF(Schedules[Team 2 Name], B64)</f>
        <v>756</v>
      </c>
      <c r="F64" s="102">
        <f ca="1">COUNTIFS(Schedules[Team 1 Name], B64, Schedules[Team 1 Outcome], "Win") + COUNTIFS(Schedules[Team 2 Name], B64, Schedules[Team 2 Outcome], "Win")</f>
        <v>329</v>
      </c>
      <c r="G64" s="115">
        <f>IFERROR(OpenSingles[[#This Row],[Wins]]/OpenSingles[[#This Row],[Matches Played]],0%)</f>
        <v>0</v>
      </c>
      <c r="H64" s="102">
        <f ca="1">SUMIFS(Schedules[Team 1 Score],Schedules[Team 1 Name],B64)+SUMIFS(Schedules[Team 2 Score],Schedules[Team 2 Name],B64)</f>
        <v>9145</v>
      </c>
      <c r="I64" s="102">
        <f ca="1">SUMIFS(Schedules[Team 2 Score],Schedules[Team 1 Name],B64)+SUMIFS(Schedules[Team 1 Score],Schedules[Team 2 Name],B64)</f>
        <v>9605</v>
      </c>
      <c r="J64" s="115">
        <f ca="1">IFERROR(IntMenDoubles[[#This Row],[Conceded Score]]/IntMenDoubles[[#This Row],[Total Score]],0%)</f>
        <v>1.050300710770913</v>
      </c>
    </row>
    <row r="65" spans="1:10" x14ac:dyDescent="0.25">
      <c r="A65" s="102" t="str">
        <f>'Registrations'!A55</f>
        <v>Int Men Doubles</v>
      </c>
      <c r="B65" s="108">
        <f>'Registrations'!E55</f>
        <v>0</v>
      </c>
      <c r="C65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5" s="102">
        <f ca="1">IntMenDoubles[[#This Row],[Wins]]*3</f>
        <v>987</v>
      </c>
      <c r="E65" s="102">
        <f ca="1">COUNTIF(Schedules[Team 1 Name], B65) + COUNTIF(Schedules[Team 2 Name], B65)</f>
        <v>756</v>
      </c>
      <c r="F65" s="102">
        <f ca="1">COUNTIFS(Schedules[Team 1 Name], B65, Schedules[Team 1 Outcome], "Win") + COUNTIFS(Schedules[Team 2 Name], B65, Schedules[Team 2 Outcome], "Win")</f>
        <v>329</v>
      </c>
      <c r="G65" s="115">
        <f>IFERROR(OpenSingles[[#This Row],[Wins]]/OpenSingles[[#This Row],[Matches Played]],0%)</f>
        <v>0</v>
      </c>
      <c r="H65" s="102">
        <f ca="1">SUMIFS(Schedules[Team 1 Score],Schedules[Team 1 Name],B65)+SUMIFS(Schedules[Team 2 Score],Schedules[Team 2 Name],B65)</f>
        <v>9145</v>
      </c>
      <c r="I65" s="102">
        <f ca="1">SUMIFS(Schedules[Team 2 Score],Schedules[Team 1 Name],B65)+SUMIFS(Schedules[Team 1 Score],Schedules[Team 2 Name],B65)</f>
        <v>9605</v>
      </c>
      <c r="J65" s="115">
        <f ca="1">IFERROR(IntMenDoubles[[#This Row],[Conceded Score]]/IntMenDoubles[[#This Row],[Total Score]],0%)</f>
        <v>1.050300710770913</v>
      </c>
    </row>
    <row r="66" spans="1:10" x14ac:dyDescent="0.25">
      <c r="A66" s="102" t="str">
        <f>'Registrations'!A56</f>
        <v>Int Men Doubles</v>
      </c>
      <c r="B66" s="108">
        <f>'Registrations'!E56</f>
        <v>0</v>
      </c>
      <c r="C66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6" s="102">
        <f ca="1">IntMenDoubles[[#This Row],[Wins]]*3</f>
        <v>987</v>
      </c>
      <c r="E66" s="102">
        <f ca="1">COUNTIF(Schedules[Team 1 Name], B66) + COUNTIF(Schedules[Team 2 Name], B66)</f>
        <v>756</v>
      </c>
      <c r="F66" s="102">
        <f ca="1">COUNTIFS(Schedules[Team 1 Name], B66, Schedules[Team 1 Outcome], "Win") + COUNTIFS(Schedules[Team 2 Name], B66, Schedules[Team 2 Outcome], "Win")</f>
        <v>329</v>
      </c>
      <c r="G66" s="115">
        <f>IFERROR(OpenSingles[[#This Row],[Wins]]/OpenSingles[[#This Row],[Matches Played]],0%)</f>
        <v>0</v>
      </c>
      <c r="H66" s="102">
        <f ca="1">SUMIFS(Schedules[Team 1 Score],Schedules[Team 1 Name],B66)+SUMIFS(Schedules[Team 2 Score],Schedules[Team 2 Name],B66)</f>
        <v>9145</v>
      </c>
      <c r="I66" s="102">
        <f ca="1">SUMIFS(Schedules[Team 2 Score],Schedules[Team 1 Name],B66)+SUMIFS(Schedules[Team 1 Score],Schedules[Team 2 Name],B66)</f>
        <v>9605</v>
      </c>
      <c r="J66" s="115">
        <f ca="1">IFERROR(IntMenDoubles[[#This Row],[Conceded Score]]/IntMenDoubles[[#This Row],[Total Score]],0%)</f>
        <v>1.050300710770913</v>
      </c>
    </row>
    <row r="67" spans="1:10" x14ac:dyDescent="0.25">
      <c r="A67" s="102" t="str">
        <f>'Registrations'!A57</f>
        <v>Int Men Doubles</v>
      </c>
      <c r="B67" s="108">
        <f>'Registrations'!E57</f>
        <v>0</v>
      </c>
      <c r="C67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7" s="102">
        <f ca="1">IntMenDoubles[[#This Row],[Wins]]*3</f>
        <v>987</v>
      </c>
      <c r="E67" s="102">
        <f ca="1">COUNTIF(Schedules[Team 1 Name], B67) + COUNTIF(Schedules[Team 2 Name], B67)</f>
        <v>756</v>
      </c>
      <c r="F67" s="102">
        <f ca="1">COUNTIFS(Schedules[Team 1 Name], B67, Schedules[Team 1 Outcome], "Win") + COUNTIFS(Schedules[Team 2 Name], B67, Schedules[Team 2 Outcome], "Win")</f>
        <v>329</v>
      </c>
      <c r="G67" s="115">
        <f>IFERROR(OpenSingles[[#This Row],[Wins]]/OpenSingles[[#This Row],[Matches Played]],0%)</f>
        <v>0</v>
      </c>
      <c r="H67" s="102">
        <f ca="1">SUMIFS(Schedules[Team 1 Score],Schedules[Team 1 Name],B67)+SUMIFS(Schedules[Team 2 Score],Schedules[Team 2 Name],B67)</f>
        <v>9145</v>
      </c>
      <c r="I67" s="102">
        <f ca="1">SUMIFS(Schedules[Team 2 Score],Schedules[Team 1 Name],B67)+SUMIFS(Schedules[Team 1 Score],Schedules[Team 2 Name],B67)</f>
        <v>9605</v>
      </c>
      <c r="J67" s="115">
        <f ca="1">IFERROR(IntMenDoubles[[#This Row],[Conceded Score]]/IntMenDoubles[[#This Row],[Total Score]],0%)</f>
        <v>1.050300710770913</v>
      </c>
    </row>
    <row r="68" spans="1:10" x14ac:dyDescent="0.25">
      <c r="A68" s="102" t="str">
        <f>'Registrations'!A58</f>
        <v>Int Men Doubles</v>
      </c>
      <c r="B68" s="108">
        <f>'Registrations'!E58</f>
        <v>0</v>
      </c>
      <c r="C68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8" s="102">
        <f ca="1">IntMenDoubles[[#This Row],[Wins]]*3</f>
        <v>987</v>
      </c>
      <c r="E68" s="102">
        <f ca="1">COUNTIF(Schedules[Team 1 Name], B68) + COUNTIF(Schedules[Team 2 Name], B68)</f>
        <v>756</v>
      </c>
      <c r="F68" s="102">
        <f ca="1">COUNTIFS(Schedules[Team 1 Name], B68, Schedules[Team 1 Outcome], "Win") + COUNTIFS(Schedules[Team 2 Name], B68, Schedules[Team 2 Outcome], "Win")</f>
        <v>329</v>
      </c>
      <c r="G68" s="115">
        <f>IFERROR(OpenSingles[[#This Row],[Wins]]/OpenSingles[[#This Row],[Matches Played]],0%)</f>
        <v>0</v>
      </c>
      <c r="H68" s="102">
        <f ca="1">SUMIFS(Schedules[Team 1 Score],Schedules[Team 1 Name],B68)+SUMIFS(Schedules[Team 2 Score],Schedules[Team 2 Name],B68)</f>
        <v>9145</v>
      </c>
      <c r="I68" s="102">
        <f ca="1">SUMIFS(Schedules[Team 2 Score],Schedules[Team 1 Name],B68)+SUMIFS(Schedules[Team 1 Score],Schedules[Team 2 Name],B68)</f>
        <v>9605</v>
      </c>
      <c r="J68" s="115">
        <f ca="1">IFERROR(IntMenDoubles[[#This Row],[Conceded Score]]/IntMenDoubles[[#This Row],[Total Score]],0%)</f>
        <v>1.050300710770913</v>
      </c>
    </row>
    <row r="69" spans="1:10" x14ac:dyDescent="0.25">
      <c r="A69" s="102" t="str">
        <f>'Registrations'!A59</f>
        <v>Int Men Doubles</v>
      </c>
      <c r="B69" s="108">
        <f>'Registrations'!E59</f>
        <v>0</v>
      </c>
      <c r="C69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69" s="102">
        <f ca="1">IntMenDoubles[[#This Row],[Wins]]*3</f>
        <v>987</v>
      </c>
      <c r="E69" s="102">
        <f ca="1">COUNTIF(Schedules[Team 1 Name], B69) + COUNTIF(Schedules[Team 2 Name], B69)</f>
        <v>756</v>
      </c>
      <c r="F69" s="102">
        <f ca="1">COUNTIFS(Schedules[Team 1 Name], B69, Schedules[Team 1 Outcome], "Win") + COUNTIFS(Schedules[Team 2 Name], B69, Schedules[Team 2 Outcome], "Win")</f>
        <v>329</v>
      </c>
      <c r="G69" s="115">
        <f>IFERROR(OpenSingles[[#This Row],[Wins]]/OpenSingles[[#This Row],[Matches Played]],0%)</f>
        <v>0</v>
      </c>
      <c r="H69" s="102">
        <f ca="1">SUMIFS(Schedules[Team 1 Score],Schedules[Team 1 Name],B69)+SUMIFS(Schedules[Team 2 Score],Schedules[Team 2 Name],B69)</f>
        <v>9145</v>
      </c>
      <c r="I69" s="102">
        <f ca="1">SUMIFS(Schedules[Team 2 Score],Schedules[Team 1 Name],B69)+SUMIFS(Schedules[Team 1 Score],Schedules[Team 2 Name],B69)</f>
        <v>9605</v>
      </c>
      <c r="J69" s="115">
        <f ca="1">IFERROR(IntMenDoubles[[#This Row],[Conceded Score]]/IntMenDoubles[[#This Row],[Total Score]],0%)</f>
        <v>1.050300710770913</v>
      </c>
    </row>
    <row r="70" spans="1:10" x14ac:dyDescent="0.25">
      <c r="A70" s="102" t="str">
        <f>'Registrations'!A60</f>
        <v>Int Men Doubles</v>
      </c>
      <c r="B70" s="108">
        <f>'Registrations'!E60</f>
        <v>0</v>
      </c>
      <c r="C70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0" s="102">
        <f ca="1">IntMenDoubles[[#This Row],[Wins]]*3</f>
        <v>987</v>
      </c>
      <c r="E70" s="102">
        <f ca="1">COUNTIF(Schedules[Team 1 Name], B70) + COUNTIF(Schedules[Team 2 Name], B70)</f>
        <v>756</v>
      </c>
      <c r="F70" s="102">
        <f ca="1">COUNTIFS(Schedules[Team 1 Name], B70, Schedules[Team 1 Outcome], "Win") + COUNTIFS(Schedules[Team 2 Name], B70, Schedules[Team 2 Outcome], "Win")</f>
        <v>329</v>
      </c>
      <c r="G70" s="115">
        <f>IFERROR(OpenSingles[[#This Row],[Wins]]/OpenSingles[[#This Row],[Matches Played]],0%)</f>
        <v>0</v>
      </c>
      <c r="H70" s="102">
        <f ca="1">SUMIFS(Schedules[Team 1 Score],Schedules[Team 1 Name],B70)+SUMIFS(Schedules[Team 2 Score],Schedules[Team 2 Name],B70)</f>
        <v>9145</v>
      </c>
      <c r="I70" s="102">
        <f ca="1">SUMIFS(Schedules[Team 2 Score],Schedules[Team 1 Name],B70)+SUMIFS(Schedules[Team 1 Score],Schedules[Team 2 Name],B70)</f>
        <v>9605</v>
      </c>
      <c r="J70" s="115">
        <f ca="1">IFERROR(IntMenDoubles[[#This Row],[Conceded Score]]/IntMenDoubles[[#This Row],[Total Score]],0%)</f>
        <v>1.050300710770913</v>
      </c>
    </row>
    <row r="71" spans="1:10" x14ac:dyDescent="0.25">
      <c r="A71" s="102" t="str">
        <f>'Registrations'!A61</f>
        <v>Int Men Doubles</v>
      </c>
      <c r="B71" s="108">
        <f>'Registrations'!E61</f>
        <v>0</v>
      </c>
      <c r="C71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1" s="102">
        <f ca="1">IntMenDoubles[[#This Row],[Wins]]*3</f>
        <v>987</v>
      </c>
      <c r="E71" s="102">
        <f ca="1">COUNTIF(Schedules[Team 1 Name], B71) + COUNTIF(Schedules[Team 2 Name], B71)</f>
        <v>756</v>
      </c>
      <c r="F71" s="102">
        <f ca="1">COUNTIFS(Schedules[Team 1 Name], B71, Schedules[Team 1 Outcome], "Win") + COUNTIFS(Schedules[Team 2 Name], B71, Schedules[Team 2 Outcome], "Win")</f>
        <v>329</v>
      </c>
      <c r="G71" s="115">
        <f>IFERROR(OpenSingles[[#This Row],[Wins]]/OpenSingles[[#This Row],[Matches Played]],0%)</f>
        <v>0</v>
      </c>
      <c r="H71" s="102">
        <f ca="1">SUMIFS(Schedules[Team 1 Score],Schedules[Team 1 Name],B71)+SUMIFS(Schedules[Team 2 Score],Schedules[Team 2 Name],B71)</f>
        <v>9145</v>
      </c>
      <c r="I71" s="102">
        <f ca="1">SUMIFS(Schedules[Team 2 Score],Schedules[Team 1 Name],B71)+SUMIFS(Schedules[Team 1 Score],Schedules[Team 2 Name],B71)</f>
        <v>9605</v>
      </c>
      <c r="J71" s="115">
        <f ca="1">IFERROR(IntMenDoubles[[#This Row],[Conceded Score]]/IntMenDoubles[[#This Row],[Total Score]],0%)</f>
        <v>1.050300710770913</v>
      </c>
    </row>
    <row r="72" spans="1:10" x14ac:dyDescent="0.25">
      <c r="A72" s="102" t="str">
        <f>'Registrations'!A62</f>
        <v>Int Men Doubles</v>
      </c>
      <c r="B72" s="108">
        <f>'Registrations'!E62</f>
        <v>0</v>
      </c>
      <c r="C72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2" s="102">
        <f ca="1">IntMenDoubles[[#This Row],[Wins]]*3</f>
        <v>987</v>
      </c>
      <c r="E72" s="102">
        <f ca="1">COUNTIF(Schedules[Team 1 Name], B72) + COUNTIF(Schedules[Team 2 Name], B72)</f>
        <v>756</v>
      </c>
      <c r="F72" s="102">
        <f ca="1">COUNTIFS(Schedules[Team 1 Name], B72, Schedules[Team 1 Outcome], "Win") + COUNTIFS(Schedules[Team 2 Name], B72, Schedules[Team 2 Outcome], "Win")</f>
        <v>329</v>
      </c>
      <c r="G72" s="115">
        <f>IFERROR(OpenSingles[[#This Row],[Wins]]/OpenSingles[[#This Row],[Matches Played]],0%)</f>
        <v>0</v>
      </c>
      <c r="H72" s="102">
        <f ca="1">SUMIFS(Schedules[Team 1 Score],Schedules[Team 1 Name],B72)+SUMIFS(Schedules[Team 2 Score],Schedules[Team 2 Name],B72)</f>
        <v>9145</v>
      </c>
      <c r="I72" s="102">
        <f ca="1">SUMIFS(Schedules[Team 2 Score],Schedules[Team 1 Name],B72)+SUMIFS(Schedules[Team 1 Score],Schedules[Team 2 Name],B72)</f>
        <v>9605</v>
      </c>
      <c r="J72" s="115">
        <f ca="1">IFERROR(IntMenDoubles[[#This Row],[Conceded Score]]/IntMenDoubles[[#This Row],[Total Score]],0%)</f>
        <v>1.050300710770913</v>
      </c>
    </row>
    <row r="73" spans="1:10" x14ac:dyDescent="0.25">
      <c r="A73" s="102" t="str">
        <f>'Registrations'!A63</f>
        <v>Int Men Doubles</v>
      </c>
      <c r="B73" s="108">
        <f>'Registrations'!E63</f>
        <v>0</v>
      </c>
      <c r="C73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3" s="102">
        <f ca="1">IntMenDoubles[[#This Row],[Wins]]*3</f>
        <v>987</v>
      </c>
      <c r="E73" s="102">
        <f ca="1">COUNTIF(Schedules[Team 1 Name], B73) + COUNTIF(Schedules[Team 2 Name], B73)</f>
        <v>756</v>
      </c>
      <c r="F73" s="102">
        <f ca="1">COUNTIFS(Schedules[Team 1 Name], B73, Schedules[Team 1 Outcome], "Win") + COUNTIFS(Schedules[Team 2 Name], B73, Schedules[Team 2 Outcome], "Win")</f>
        <v>329</v>
      </c>
      <c r="G73" s="115">
        <f>IFERROR(OpenSingles[[#This Row],[Wins]]/OpenSingles[[#This Row],[Matches Played]],0%)</f>
        <v>0</v>
      </c>
      <c r="H73" s="102">
        <f ca="1">SUMIFS(Schedules[Team 1 Score],Schedules[Team 1 Name],B73)+SUMIFS(Schedules[Team 2 Score],Schedules[Team 2 Name],B73)</f>
        <v>9145</v>
      </c>
      <c r="I73" s="102">
        <f ca="1">SUMIFS(Schedules[Team 2 Score],Schedules[Team 1 Name],B73)+SUMIFS(Schedules[Team 1 Score],Schedules[Team 2 Name],B73)</f>
        <v>9605</v>
      </c>
      <c r="J73" s="115">
        <f ca="1">IFERROR(IntMenDoubles[[#This Row],[Conceded Score]]/IntMenDoubles[[#This Row],[Total Score]],0%)</f>
        <v>1.050300710770913</v>
      </c>
    </row>
    <row r="74" spans="1:10" x14ac:dyDescent="0.25">
      <c r="A74" s="102" t="str">
        <f>'Registrations'!A64</f>
        <v>Int Men Doubles</v>
      </c>
      <c r="B74" s="108">
        <f>'Registrations'!E64</f>
        <v>0</v>
      </c>
      <c r="C74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4" s="102">
        <f ca="1">IntMenDoubles[[#This Row],[Wins]]*3</f>
        <v>987</v>
      </c>
      <c r="E74" s="102">
        <f ca="1">COUNTIF(Schedules[Team 1 Name], B74) + COUNTIF(Schedules[Team 2 Name], B74)</f>
        <v>756</v>
      </c>
      <c r="F74" s="102">
        <f ca="1">COUNTIFS(Schedules[Team 1 Name], B74, Schedules[Team 1 Outcome], "Win") + COUNTIFS(Schedules[Team 2 Name], B74, Schedules[Team 2 Outcome], "Win")</f>
        <v>329</v>
      </c>
      <c r="G74" s="115">
        <f>IFERROR(OpenSingles[[#This Row],[Wins]]/OpenSingles[[#This Row],[Matches Played]],0%)</f>
        <v>0</v>
      </c>
      <c r="H74" s="102">
        <f ca="1">SUMIFS(Schedules[Team 1 Score],Schedules[Team 1 Name],B74)+SUMIFS(Schedules[Team 2 Score],Schedules[Team 2 Name],B74)</f>
        <v>9145</v>
      </c>
      <c r="I74" s="102">
        <f ca="1">SUMIFS(Schedules[Team 2 Score],Schedules[Team 1 Name],B74)+SUMIFS(Schedules[Team 1 Score],Schedules[Team 2 Name],B74)</f>
        <v>9605</v>
      </c>
      <c r="J74" s="115">
        <f ca="1">IFERROR(IntMenDoubles[[#This Row],[Conceded Score]]/IntMenDoubles[[#This Row],[Total Score]],0%)</f>
        <v>1.050300710770913</v>
      </c>
    </row>
    <row r="75" spans="1:10" x14ac:dyDescent="0.25">
      <c r="A75" s="102" t="str">
        <f>'Registrations'!A65</f>
        <v>Int Men Doubles</v>
      </c>
      <c r="B75" s="108">
        <f>'Registrations'!E65</f>
        <v>0</v>
      </c>
      <c r="C75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5" s="102">
        <f ca="1">IntMenDoubles[[#This Row],[Wins]]*3</f>
        <v>987</v>
      </c>
      <c r="E75" s="102">
        <f ca="1">COUNTIF(Schedules[Team 1 Name], B75) + COUNTIF(Schedules[Team 2 Name], B75)</f>
        <v>756</v>
      </c>
      <c r="F75" s="102">
        <f ca="1">COUNTIFS(Schedules[Team 1 Name], B75, Schedules[Team 1 Outcome], "Win") + COUNTIFS(Schedules[Team 2 Name], B75, Schedules[Team 2 Outcome], "Win")</f>
        <v>329</v>
      </c>
      <c r="G75" s="115">
        <f>IFERROR(OpenSingles[[#This Row],[Wins]]/OpenSingles[[#This Row],[Matches Played]],0%)</f>
        <v>0</v>
      </c>
      <c r="H75" s="102">
        <f ca="1">SUMIFS(Schedules[Team 1 Score],Schedules[Team 1 Name],B75)+SUMIFS(Schedules[Team 2 Score],Schedules[Team 2 Name],B75)</f>
        <v>9145</v>
      </c>
      <c r="I75" s="102">
        <f ca="1">SUMIFS(Schedules[Team 2 Score],Schedules[Team 1 Name],B75)+SUMIFS(Schedules[Team 1 Score],Schedules[Team 2 Name],B75)</f>
        <v>9605</v>
      </c>
      <c r="J75" s="115">
        <f ca="1">IFERROR(IntMenDoubles[[#This Row],[Conceded Score]]/IntMenDoubles[[#This Row],[Total Score]],0%)</f>
        <v>1.050300710770913</v>
      </c>
    </row>
    <row r="76" spans="1:10" x14ac:dyDescent="0.25">
      <c r="A76" s="102" t="str">
        <f>'Registrations'!A66</f>
        <v>Int Men Doubles</v>
      </c>
      <c r="B76" s="108">
        <f>'Registrations'!E66</f>
        <v>0</v>
      </c>
      <c r="C76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6" s="102">
        <f ca="1">IntMenDoubles[[#This Row],[Wins]]*3</f>
        <v>987</v>
      </c>
      <c r="E76" s="102">
        <f ca="1">COUNTIF(Schedules[Team 1 Name], B76) + COUNTIF(Schedules[Team 2 Name], B76)</f>
        <v>756</v>
      </c>
      <c r="F76" s="102">
        <f ca="1">COUNTIFS(Schedules[Team 1 Name], B76, Schedules[Team 1 Outcome], "Win") + COUNTIFS(Schedules[Team 2 Name], B76, Schedules[Team 2 Outcome], "Win")</f>
        <v>329</v>
      </c>
      <c r="G76" s="115">
        <f>IFERROR(OpenSingles[[#This Row],[Wins]]/OpenSingles[[#This Row],[Matches Played]],0%)</f>
        <v>0</v>
      </c>
      <c r="H76" s="102">
        <f ca="1">SUMIFS(Schedules[Team 1 Score],Schedules[Team 1 Name],B76)+SUMIFS(Schedules[Team 2 Score],Schedules[Team 2 Name],B76)</f>
        <v>9145</v>
      </c>
      <c r="I76" s="102">
        <f ca="1">SUMIFS(Schedules[Team 2 Score],Schedules[Team 1 Name],B76)+SUMIFS(Schedules[Team 1 Score],Schedules[Team 2 Name],B76)</f>
        <v>9605</v>
      </c>
      <c r="J76" s="115">
        <f ca="1">IFERROR(IntMenDoubles[[#This Row],[Conceded Score]]/IntMenDoubles[[#This Row],[Total Score]],0%)</f>
        <v>1.050300710770913</v>
      </c>
    </row>
    <row r="77" spans="1:10" x14ac:dyDescent="0.25">
      <c r="A77" s="102" t="str">
        <f>'Registrations'!A67</f>
        <v>Int Men Doubles</v>
      </c>
      <c r="B77" s="108">
        <f>'Registrations'!E67</f>
        <v>0</v>
      </c>
      <c r="C77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7" s="102">
        <f ca="1">IntMenDoubles[[#This Row],[Wins]]*3</f>
        <v>987</v>
      </c>
      <c r="E77" s="102">
        <f ca="1">COUNTIF(Schedules[Team 1 Name], B77) + COUNTIF(Schedules[Team 2 Name], B77)</f>
        <v>756</v>
      </c>
      <c r="F77" s="102">
        <f ca="1">COUNTIFS(Schedules[Team 1 Name], B77, Schedules[Team 1 Outcome], "Win") + COUNTIFS(Schedules[Team 2 Name], B77, Schedules[Team 2 Outcome], "Win")</f>
        <v>329</v>
      </c>
      <c r="G77" s="115">
        <f>IFERROR(OpenSingles[[#This Row],[Wins]]/OpenSingles[[#This Row],[Matches Played]],0%)</f>
        <v>0</v>
      </c>
      <c r="H77" s="102">
        <f ca="1">SUMIFS(Schedules[Team 1 Score],Schedules[Team 1 Name],B77)+SUMIFS(Schedules[Team 2 Score],Schedules[Team 2 Name],B77)</f>
        <v>9145</v>
      </c>
      <c r="I77" s="102">
        <f ca="1">SUMIFS(Schedules[Team 2 Score],Schedules[Team 1 Name],B77)+SUMIFS(Schedules[Team 1 Score],Schedules[Team 2 Name],B77)</f>
        <v>9605</v>
      </c>
      <c r="J77" s="115">
        <f ca="1">IFERROR(IntMenDoubles[[#This Row],[Conceded Score]]/IntMenDoubles[[#This Row],[Total Score]],0%)</f>
        <v>1.050300710770913</v>
      </c>
    </row>
    <row r="78" spans="1:10" x14ac:dyDescent="0.25">
      <c r="A78" s="102" t="str">
        <f>'Registrations'!A68</f>
        <v>Int Men Doubles</v>
      </c>
      <c r="B78" s="108">
        <f>'Registrations'!E68</f>
        <v>0</v>
      </c>
      <c r="C78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8" s="102">
        <f ca="1">IntMenDoubles[[#This Row],[Wins]]*3</f>
        <v>987</v>
      </c>
      <c r="E78" s="102">
        <f ca="1">COUNTIF(Schedules[Team 1 Name], B78) + COUNTIF(Schedules[Team 2 Name], B78)</f>
        <v>756</v>
      </c>
      <c r="F78" s="102">
        <f ca="1">COUNTIFS(Schedules[Team 1 Name], B78, Schedules[Team 1 Outcome], "Win") + COUNTIFS(Schedules[Team 2 Name], B78, Schedules[Team 2 Outcome], "Win")</f>
        <v>329</v>
      </c>
      <c r="G78" s="115">
        <f>IFERROR(OpenSingles[[#This Row],[Wins]]/OpenSingles[[#This Row],[Matches Played]],0%)</f>
        <v>0</v>
      </c>
      <c r="H78" s="102">
        <f ca="1">SUMIFS(Schedules[Team 1 Score],Schedules[Team 1 Name],B78)+SUMIFS(Schedules[Team 2 Score],Schedules[Team 2 Name],B78)</f>
        <v>9145</v>
      </c>
      <c r="I78" s="102">
        <f ca="1">SUMIFS(Schedules[Team 2 Score],Schedules[Team 1 Name],B78)+SUMIFS(Schedules[Team 1 Score],Schedules[Team 2 Name],B78)</f>
        <v>9605</v>
      </c>
      <c r="J78" s="115">
        <f ca="1">IFERROR(IntMenDoubles[[#This Row],[Conceded Score]]/IntMenDoubles[[#This Row],[Total Score]],0%)</f>
        <v>1.050300710770913</v>
      </c>
    </row>
    <row r="79" spans="1:10" x14ac:dyDescent="0.25">
      <c r="A79" s="102" t="str">
        <f>'Registrations'!A69</f>
        <v>Int Men Doubles</v>
      </c>
      <c r="B79" s="108">
        <f>'Registrations'!E69</f>
        <v>0</v>
      </c>
      <c r="C79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79" s="102">
        <f ca="1">IntMenDoubles[[#This Row],[Wins]]*3</f>
        <v>987</v>
      </c>
      <c r="E79" s="102">
        <f ca="1">COUNTIF(Schedules[Team 1 Name], B79) + COUNTIF(Schedules[Team 2 Name], B79)</f>
        <v>756</v>
      </c>
      <c r="F79" s="102">
        <f ca="1">COUNTIFS(Schedules[Team 1 Name], B79, Schedules[Team 1 Outcome], "Win") + COUNTIFS(Schedules[Team 2 Name], B79, Schedules[Team 2 Outcome], "Win")</f>
        <v>329</v>
      </c>
      <c r="G79" s="115">
        <f>IFERROR(OpenSingles[[#This Row],[Wins]]/OpenSingles[[#This Row],[Matches Played]],0%)</f>
        <v>0</v>
      </c>
      <c r="H79" s="102">
        <f ca="1">SUMIFS(Schedules[Team 1 Score],Schedules[Team 1 Name],B79)+SUMIFS(Schedules[Team 2 Score],Schedules[Team 2 Name],B79)</f>
        <v>9145</v>
      </c>
      <c r="I79" s="102">
        <f ca="1">SUMIFS(Schedules[Team 2 Score],Schedules[Team 1 Name],B79)+SUMIFS(Schedules[Team 1 Score],Schedules[Team 2 Name],B79)</f>
        <v>9605</v>
      </c>
      <c r="J79" s="115">
        <f ca="1">IFERROR(IntMenDoubles[[#This Row],[Conceded Score]]/IntMenDoubles[[#This Row],[Total Score]],0%)</f>
        <v>1.050300710770913</v>
      </c>
    </row>
    <row r="80" spans="1:10" x14ac:dyDescent="0.25">
      <c r="A80" s="102" t="str">
        <f>'Registrations'!A70</f>
        <v>Int Men Doubles</v>
      </c>
      <c r="B80" s="108">
        <f>'Registrations'!E70</f>
        <v>0</v>
      </c>
      <c r="C80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80" s="102">
        <f ca="1">IntMenDoubles[[#This Row],[Wins]]*3</f>
        <v>987</v>
      </c>
      <c r="E80" s="102">
        <f ca="1">COUNTIF(Schedules[Team 1 Name], B80) + COUNTIF(Schedules[Team 2 Name], B80)</f>
        <v>756</v>
      </c>
      <c r="F80" s="102">
        <f ca="1">COUNTIFS(Schedules[Team 1 Name], B80, Schedules[Team 1 Outcome], "Win") + COUNTIFS(Schedules[Team 2 Name], B80, Schedules[Team 2 Outcome], "Win")</f>
        <v>329</v>
      </c>
      <c r="G80" s="115">
        <f>IFERROR(OpenSingles[[#This Row],[Wins]]/OpenSingles[[#This Row],[Matches Played]],0%)</f>
        <v>0</v>
      </c>
      <c r="H80" s="102">
        <f ca="1">SUMIFS(Schedules[Team 1 Score],Schedules[Team 1 Name],B80)+SUMIFS(Schedules[Team 2 Score],Schedules[Team 2 Name],B80)</f>
        <v>9145</v>
      </c>
      <c r="I80" s="102">
        <f ca="1">SUMIFS(Schedules[Team 2 Score],Schedules[Team 1 Name],B80)+SUMIFS(Schedules[Team 1 Score],Schedules[Team 2 Name],B80)</f>
        <v>9605</v>
      </c>
      <c r="J80" s="115">
        <f ca="1">IFERROR(IntMenDoubles[[#This Row],[Conceded Score]]/IntMenDoubles[[#This Row],[Total Score]],0%)</f>
        <v>1.050300710770913</v>
      </c>
    </row>
    <row r="81" spans="1:10" x14ac:dyDescent="0.25">
      <c r="A81" s="102" t="str">
        <f>'Registrations'!A71</f>
        <v>Int Men Doubles</v>
      </c>
      <c r="B81" s="108">
        <f>'Registrations'!E71</f>
        <v>0</v>
      </c>
      <c r="C81" s="102">
        <f ca="1">_xlfn.RANK.EQ(IntMenDoubles[[#This Row],[Points]],IntMenDoubles[Points],0)+COUNTIFS(IntMenDoubles[Points],IntMenDoubles[[#This Row],[Points]],IntMenDoubles[Concession ratio %],"&lt;"&amp;IntMenDoubles[[#This Row],[Concession ratio %]])+COUNTIFS(IntMenDoubles[Points],IntMenDoubles[[#This Row],[Points]],IntMenDoubles[Concession ratio %],IntMenDoubles[[#This Row],[Concession ratio %]],IntMenDoubles[Teams],"&lt;"&amp;IntMenDoubles[[#This Row],[Teams]])</f>
        <v>1</v>
      </c>
      <c r="D81" s="102">
        <f ca="1">IntMenDoubles[[#This Row],[Wins]]*3</f>
        <v>987</v>
      </c>
      <c r="E81" s="102">
        <f ca="1">COUNTIF(Schedules[Team 1 Name], B81) + COUNTIF(Schedules[Team 2 Name], B81)</f>
        <v>756</v>
      </c>
      <c r="F81" s="102">
        <f ca="1">COUNTIFS(Schedules[Team 1 Name], B81, Schedules[Team 1 Outcome], "Win") + COUNTIFS(Schedules[Team 2 Name], B81, Schedules[Team 2 Outcome], "Win")</f>
        <v>329</v>
      </c>
      <c r="G81" s="115">
        <f>IFERROR(OpenSingles[[#This Row],[Wins]]/OpenSingles[[#This Row],[Matches Played]],0%)</f>
        <v>0</v>
      </c>
      <c r="H81" s="102">
        <f ca="1">SUMIFS(Schedules[Team 1 Score],Schedules[Team 1 Name],B81)+SUMIFS(Schedules[Team 2 Score],Schedules[Team 2 Name],B81)</f>
        <v>9145</v>
      </c>
      <c r="I81" s="102">
        <f ca="1">SUMIFS(Schedules[Team 2 Score],Schedules[Team 1 Name],B81)+SUMIFS(Schedules[Team 1 Score],Schedules[Team 2 Name],B81)</f>
        <v>9605</v>
      </c>
      <c r="J81" s="115">
        <f ca="1">IFERROR(IntMenDoubles[[#This Row],[Conceded Score]]/IntMenDoubles[[#This Row],[Total Score]],0%)</f>
        <v>1.050300710770913</v>
      </c>
    </row>
    <row r="82" spans="1:10" x14ac:dyDescent="0.25">
      <c r="B82" s="108"/>
      <c r="G82" s="115"/>
      <c r="J82" s="115"/>
    </row>
    <row r="83" spans="1:10" ht="11" thickBot="1" x14ac:dyDescent="0.3">
      <c r="B83" s="108"/>
      <c r="G83" s="115"/>
      <c r="J83" s="115"/>
    </row>
    <row r="84" spans="1:10" x14ac:dyDescent="0.25">
      <c r="A84" s="122" t="s">
        <v>494</v>
      </c>
      <c r="B84" s="123"/>
      <c r="C84" s="123"/>
      <c r="D84" s="123"/>
      <c r="E84" s="123"/>
      <c r="F84" s="123"/>
      <c r="G84" s="123"/>
      <c r="H84" s="123"/>
      <c r="I84" s="123"/>
      <c r="J84" s="124"/>
    </row>
    <row r="85" spans="1:10" x14ac:dyDescent="0.25">
      <c r="A85" s="125"/>
      <c r="B85" s="126"/>
      <c r="C85" s="126"/>
      <c r="D85" s="126"/>
      <c r="E85" s="126"/>
      <c r="F85" s="126"/>
      <c r="G85" s="126"/>
      <c r="H85" s="126"/>
      <c r="I85" s="126"/>
      <c r="J85" s="127"/>
    </row>
    <row r="86" spans="1:10" ht="11" thickBot="1" x14ac:dyDescent="0.3">
      <c r="A86" s="116" t="s">
        <v>10</v>
      </c>
      <c r="B86" s="116" t="s">
        <v>70</v>
      </c>
      <c r="C86" s="116" t="s">
        <v>484</v>
      </c>
      <c r="D86" s="116" t="s">
        <v>485</v>
      </c>
      <c r="E86" s="116" t="s">
        <v>486</v>
      </c>
      <c r="F86" s="116" t="s">
        <v>487</v>
      </c>
      <c r="G86" s="116" t="s">
        <v>488</v>
      </c>
      <c r="H86" s="116" t="s">
        <v>489</v>
      </c>
      <c r="I86" s="116" t="s">
        <v>490</v>
      </c>
      <c r="J86" s="107" t="s">
        <v>491</v>
      </c>
    </row>
    <row r="87" spans="1:10" ht="11" thickTop="1" x14ac:dyDescent="0.25">
      <c r="A87" s="102" t="str">
        <f>'Registrations'!A72</f>
        <v>Open Mixed Doubles</v>
      </c>
      <c r="B87" s="108">
        <f>'Registrations'!E72</f>
        <v>0</v>
      </c>
      <c r="C87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87" s="102">
        <f ca="1">OpenMxD[[#This Row],[Wins]]*3</f>
        <v>987</v>
      </c>
      <c r="E87" s="102">
        <f ca="1">COUNTIF(Schedules[Team 1 Name], B87) + COUNTIF(Schedules[Team 2 Name], B87)</f>
        <v>756</v>
      </c>
      <c r="F87" s="102">
        <f ca="1">COUNTIFS(Schedules[Team 1 Name], B87, Schedules[Team 1 Outcome], "Win") + COUNTIFS(Schedules[Team 2 Name], B87, Schedules[Team 2 Outcome], "Win")</f>
        <v>329</v>
      </c>
      <c r="G87" s="115">
        <f>IFERROR(OpenSingles[[#This Row],[Wins]]/OpenSingles[[#This Row],[Matches Played]],0%)</f>
        <v>0</v>
      </c>
      <c r="H87" s="102">
        <f ca="1">SUMIFS(Schedules[Team 1 Score],Schedules[Team 1 Name],B87)+SUMIFS(Schedules[Team 2 Score],Schedules[Team 2 Name],B87)</f>
        <v>9145</v>
      </c>
      <c r="I87" s="102">
        <f ca="1">SUMIFS(Schedules[Team 2 Score],Schedules[Team 1 Name],B87)+SUMIFS(Schedules[Team 1 Score],Schedules[Team 2 Name],B87)</f>
        <v>9605</v>
      </c>
      <c r="J87" s="115">
        <f ca="1">IFERROR(OpenMxD[[#This Row],[Conceded Score]]/OpenMxD[[#This Row],[Total Score]],0%)</f>
        <v>1.050300710770913</v>
      </c>
    </row>
    <row r="88" spans="1:10" x14ac:dyDescent="0.25">
      <c r="A88" s="102" t="str">
        <f>'Registrations'!A73</f>
        <v>Open Mixed Doubles</v>
      </c>
      <c r="B88" s="108">
        <f>'Registrations'!E73</f>
        <v>0</v>
      </c>
      <c r="C88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88" s="102">
        <f ca="1">OpenMxD[[#This Row],[Wins]]*3</f>
        <v>987</v>
      </c>
      <c r="E88" s="102">
        <f ca="1">COUNTIF(Schedules[Team 1 Name], B88) + COUNTIF(Schedules[Team 2 Name], B88)</f>
        <v>756</v>
      </c>
      <c r="F88" s="102">
        <f ca="1">COUNTIFS(Schedules[Team 1 Name], B88, Schedules[Team 1 Outcome], "Win") + COUNTIFS(Schedules[Team 2 Name], B88, Schedules[Team 2 Outcome], "Win")</f>
        <v>329</v>
      </c>
      <c r="G88" s="115">
        <f>IFERROR(OpenSingles[[#This Row],[Wins]]/OpenSingles[[#This Row],[Matches Played]],0%)</f>
        <v>0</v>
      </c>
      <c r="H88" s="102">
        <f ca="1">SUMIFS(Schedules[Team 1 Score],Schedules[Team 1 Name],B88)+SUMIFS(Schedules[Team 2 Score],Schedules[Team 2 Name],B88)</f>
        <v>9145</v>
      </c>
      <c r="I88" s="102">
        <f ca="1">SUMIFS(Schedules[Team 2 Score],Schedules[Team 1 Name],B88)+SUMIFS(Schedules[Team 1 Score],Schedules[Team 2 Name],B88)</f>
        <v>9605</v>
      </c>
      <c r="J88" s="115">
        <f ca="1">IFERROR(OpenMxD[[#This Row],[Conceded Score]]/OpenMxD[[#This Row],[Total Score]],0%)</f>
        <v>1.050300710770913</v>
      </c>
    </row>
    <row r="89" spans="1:10" x14ac:dyDescent="0.25">
      <c r="A89" s="102" t="str">
        <f>'Registrations'!A74</f>
        <v>Open Mixed Doubles</v>
      </c>
      <c r="B89" s="108">
        <f>'Registrations'!E74</f>
        <v>0</v>
      </c>
      <c r="C89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89" s="102">
        <f ca="1">OpenMxD[[#This Row],[Wins]]*3</f>
        <v>987</v>
      </c>
      <c r="E89" s="102">
        <f ca="1">COUNTIF(Schedules[Team 1 Name], B89) + COUNTIF(Schedules[Team 2 Name], B89)</f>
        <v>756</v>
      </c>
      <c r="F89" s="102">
        <f ca="1">COUNTIFS(Schedules[Team 1 Name], B89, Schedules[Team 1 Outcome], "Win") + COUNTIFS(Schedules[Team 2 Name], B89, Schedules[Team 2 Outcome], "Win")</f>
        <v>329</v>
      </c>
      <c r="G89" s="115">
        <f>IFERROR(OpenSingles[[#This Row],[Wins]]/OpenSingles[[#This Row],[Matches Played]],0%)</f>
        <v>0</v>
      </c>
      <c r="H89" s="102">
        <f ca="1">SUMIFS(Schedules[Team 1 Score],Schedules[Team 1 Name],B89)+SUMIFS(Schedules[Team 2 Score],Schedules[Team 2 Name],B89)</f>
        <v>9145</v>
      </c>
      <c r="I89" s="102">
        <f ca="1">SUMIFS(Schedules[Team 2 Score],Schedules[Team 1 Name],B89)+SUMIFS(Schedules[Team 1 Score],Schedules[Team 2 Name],B89)</f>
        <v>9605</v>
      </c>
      <c r="J89" s="115">
        <f ca="1">IFERROR(OpenMxD[[#This Row],[Conceded Score]]/OpenMxD[[#This Row],[Total Score]],0%)</f>
        <v>1.050300710770913</v>
      </c>
    </row>
    <row r="90" spans="1:10" x14ac:dyDescent="0.25">
      <c r="A90" s="102" t="str">
        <f>'Registrations'!A75</f>
        <v>Open Mixed Doubles</v>
      </c>
      <c r="B90" s="108">
        <f>'Registrations'!E75</f>
        <v>0</v>
      </c>
      <c r="C90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0" s="102">
        <f ca="1">OpenMxD[[#This Row],[Wins]]*3</f>
        <v>987</v>
      </c>
      <c r="E90" s="102">
        <f ca="1">COUNTIF(Schedules[Team 1 Name], B90) + COUNTIF(Schedules[Team 2 Name], B90)</f>
        <v>756</v>
      </c>
      <c r="F90" s="102">
        <f ca="1">COUNTIFS(Schedules[Team 1 Name], B90, Schedules[Team 1 Outcome], "Win") + COUNTIFS(Schedules[Team 2 Name], B90, Schedules[Team 2 Outcome], "Win")</f>
        <v>329</v>
      </c>
      <c r="G90" s="115">
        <f>IFERROR(OpenSingles[[#This Row],[Wins]]/OpenSingles[[#This Row],[Matches Played]],0%)</f>
        <v>0</v>
      </c>
      <c r="H90" s="102">
        <f ca="1">SUMIFS(Schedules[Team 1 Score],Schedules[Team 1 Name],B90)+SUMIFS(Schedules[Team 2 Score],Schedules[Team 2 Name],B90)</f>
        <v>9145</v>
      </c>
      <c r="I90" s="102">
        <f ca="1">SUMIFS(Schedules[Team 2 Score],Schedules[Team 1 Name],B90)+SUMIFS(Schedules[Team 1 Score],Schedules[Team 2 Name],B90)</f>
        <v>9605</v>
      </c>
      <c r="J90" s="115">
        <f ca="1">IFERROR(OpenMxD[[#This Row],[Conceded Score]]/OpenMxD[[#This Row],[Total Score]],0%)</f>
        <v>1.050300710770913</v>
      </c>
    </row>
    <row r="91" spans="1:10" x14ac:dyDescent="0.25">
      <c r="A91" s="102" t="str">
        <f>'Registrations'!A76</f>
        <v>Open Mixed Doubles</v>
      </c>
      <c r="B91" s="108">
        <f>'Registrations'!E76</f>
        <v>0</v>
      </c>
      <c r="C91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1" s="102">
        <f ca="1">OpenMxD[[#This Row],[Wins]]*3</f>
        <v>987</v>
      </c>
      <c r="E91" s="102">
        <f ca="1">COUNTIF(Schedules[Team 1 Name], B91) + COUNTIF(Schedules[Team 2 Name], B91)</f>
        <v>756</v>
      </c>
      <c r="F91" s="102">
        <f ca="1">COUNTIFS(Schedules[Team 1 Name], B91, Schedules[Team 1 Outcome], "Win") + COUNTIFS(Schedules[Team 2 Name], B91, Schedules[Team 2 Outcome], "Win")</f>
        <v>329</v>
      </c>
      <c r="G91" s="115">
        <f>IFERROR(OpenSingles[[#This Row],[Wins]]/OpenSingles[[#This Row],[Matches Played]],0%)</f>
        <v>0</v>
      </c>
      <c r="H91" s="102">
        <f ca="1">SUMIFS(Schedules[Team 1 Score],Schedules[Team 1 Name],B91)+SUMIFS(Schedules[Team 2 Score],Schedules[Team 2 Name],B91)</f>
        <v>9145</v>
      </c>
      <c r="I91" s="102">
        <f ca="1">SUMIFS(Schedules[Team 2 Score],Schedules[Team 1 Name],B91)+SUMIFS(Schedules[Team 1 Score],Schedules[Team 2 Name],B91)</f>
        <v>9605</v>
      </c>
      <c r="J91" s="115">
        <f ca="1">IFERROR(OpenMxD[[#This Row],[Conceded Score]]/OpenMxD[[#This Row],[Total Score]],0%)</f>
        <v>1.050300710770913</v>
      </c>
    </row>
    <row r="92" spans="1:10" x14ac:dyDescent="0.25">
      <c r="A92" s="102" t="str">
        <f>'Registrations'!A77</f>
        <v>Open Mixed Doubles</v>
      </c>
      <c r="B92" s="108">
        <f>'Registrations'!E77</f>
        <v>0</v>
      </c>
      <c r="C92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2" s="102">
        <f ca="1">OpenMxD[[#This Row],[Wins]]*3</f>
        <v>987</v>
      </c>
      <c r="E92" s="102">
        <f ca="1">COUNTIF(Schedules[Team 1 Name], B92) + COUNTIF(Schedules[Team 2 Name], B92)</f>
        <v>756</v>
      </c>
      <c r="F92" s="102">
        <f ca="1">COUNTIFS(Schedules[Team 1 Name], B92, Schedules[Team 1 Outcome], "Win") + COUNTIFS(Schedules[Team 2 Name], B92, Schedules[Team 2 Outcome], "Win")</f>
        <v>329</v>
      </c>
      <c r="G92" s="115">
        <f>IFERROR(OpenSingles[[#This Row],[Wins]]/OpenSingles[[#This Row],[Matches Played]],0%)</f>
        <v>0</v>
      </c>
      <c r="H92" s="102">
        <f ca="1">SUMIFS(Schedules[Team 1 Score],Schedules[Team 1 Name],B92)+SUMIFS(Schedules[Team 2 Score],Schedules[Team 2 Name],B92)</f>
        <v>9145</v>
      </c>
      <c r="I92" s="102">
        <f ca="1">SUMIFS(Schedules[Team 2 Score],Schedules[Team 1 Name],B92)+SUMIFS(Schedules[Team 1 Score],Schedules[Team 2 Name],B92)</f>
        <v>9605</v>
      </c>
      <c r="J92" s="115">
        <f ca="1">IFERROR(OpenMxD[[#This Row],[Conceded Score]]/OpenMxD[[#This Row],[Total Score]],0%)</f>
        <v>1.050300710770913</v>
      </c>
    </row>
    <row r="93" spans="1:10" x14ac:dyDescent="0.25">
      <c r="A93" s="102" t="str">
        <f>'Registrations'!A78</f>
        <v>Open Mixed Doubles</v>
      </c>
      <c r="B93" s="108">
        <f>'Registrations'!E78</f>
        <v>0</v>
      </c>
      <c r="C93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3" s="102">
        <f ca="1">OpenMxD[[#This Row],[Wins]]*3</f>
        <v>987</v>
      </c>
      <c r="E93" s="102">
        <f ca="1">COUNTIF(Schedules[Team 1 Name], B93) + COUNTIF(Schedules[Team 2 Name], B93)</f>
        <v>756</v>
      </c>
      <c r="F93" s="102">
        <f ca="1">COUNTIFS(Schedules[Team 1 Name], B93, Schedules[Team 1 Outcome], "Win") + COUNTIFS(Schedules[Team 2 Name], B93, Schedules[Team 2 Outcome], "Win")</f>
        <v>329</v>
      </c>
      <c r="G93" s="115">
        <f>IFERROR(OpenSingles[[#This Row],[Wins]]/OpenSingles[[#This Row],[Matches Played]],0%)</f>
        <v>0</v>
      </c>
      <c r="H93" s="102">
        <f ca="1">SUMIFS(Schedules[Team 1 Score],Schedules[Team 1 Name],B93)+SUMIFS(Schedules[Team 2 Score],Schedules[Team 2 Name],B93)</f>
        <v>9145</v>
      </c>
      <c r="I93" s="102">
        <f ca="1">SUMIFS(Schedules[Team 2 Score],Schedules[Team 1 Name],B93)+SUMIFS(Schedules[Team 1 Score],Schedules[Team 2 Name],B93)</f>
        <v>9605</v>
      </c>
      <c r="J93" s="115">
        <f ca="1">IFERROR(OpenMxD[[#This Row],[Conceded Score]]/OpenMxD[[#This Row],[Total Score]],0%)</f>
        <v>1.050300710770913</v>
      </c>
    </row>
    <row r="94" spans="1:10" x14ac:dyDescent="0.25">
      <c r="A94" s="102" t="str">
        <f>'Registrations'!A79</f>
        <v>Open Mixed Doubles</v>
      </c>
      <c r="B94" s="108">
        <f>'Registrations'!E79</f>
        <v>0</v>
      </c>
      <c r="C94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4" s="102">
        <f ca="1">OpenMxD[[#This Row],[Wins]]*3</f>
        <v>987</v>
      </c>
      <c r="E94" s="102">
        <f ca="1">COUNTIF(Schedules[Team 1 Name], B94) + COUNTIF(Schedules[Team 2 Name], B94)</f>
        <v>756</v>
      </c>
      <c r="F94" s="102">
        <f ca="1">COUNTIFS(Schedules[Team 1 Name], B94, Schedules[Team 1 Outcome], "Win") + COUNTIFS(Schedules[Team 2 Name], B94, Schedules[Team 2 Outcome], "Win")</f>
        <v>329</v>
      </c>
      <c r="G94" s="115">
        <f>IFERROR(OpenSingles[[#This Row],[Wins]]/OpenSingles[[#This Row],[Matches Played]],0%)</f>
        <v>0</v>
      </c>
      <c r="H94" s="102">
        <f ca="1">SUMIFS(Schedules[Team 1 Score],Schedules[Team 1 Name],B94)+SUMIFS(Schedules[Team 2 Score],Schedules[Team 2 Name],B94)</f>
        <v>9145</v>
      </c>
      <c r="I94" s="102">
        <f ca="1">SUMIFS(Schedules[Team 2 Score],Schedules[Team 1 Name],B94)+SUMIFS(Schedules[Team 1 Score],Schedules[Team 2 Name],B94)</f>
        <v>9605</v>
      </c>
      <c r="J94" s="115">
        <f ca="1">IFERROR(OpenMxD[[#This Row],[Conceded Score]]/OpenMxD[[#This Row],[Total Score]],0%)</f>
        <v>1.050300710770913</v>
      </c>
    </row>
    <row r="95" spans="1:10" x14ac:dyDescent="0.25">
      <c r="A95" s="102" t="str">
        <f>'Registrations'!A80</f>
        <v>Open Mixed Doubles</v>
      </c>
      <c r="B95" s="108">
        <f>'Registrations'!E80</f>
        <v>0</v>
      </c>
      <c r="C95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5" s="102">
        <f ca="1">OpenMxD[[#This Row],[Wins]]*3</f>
        <v>987</v>
      </c>
      <c r="E95" s="102">
        <f ca="1">COUNTIF(Schedules[Team 1 Name], B95) + COUNTIF(Schedules[Team 2 Name], B95)</f>
        <v>756</v>
      </c>
      <c r="F95" s="102">
        <f ca="1">COUNTIFS(Schedules[Team 1 Name], B95, Schedules[Team 1 Outcome], "Win") + COUNTIFS(Schedules[Team 2 Name], B95, Schedules[Team 2 Outcome], "Win")</f>
        <v>329</v>
      </c>
      <c r="G95" s="115">
        <f>IFERROR(OpenSingles[[#This Row],[Wins]]/OpenSingles[[#This Row],[Matches Played]],0%)</f>
        <v>0</v>
      </c>
      <c r="H95" s="102">
        <f ca="1">SUMIFS(Schedules[Team 1 Score],Schedules[Team 1 Name],B95)+SUMIFS(Schedules[Team 2 Score],Schedules[Team 2 Name],B95)</f>
        <v>9145</v>
      </c>
      <c r="I95" s="102">
        <f ca="1">SUMIFS(Schedules[Team 2 Score],Schedules[Team 1 Name],B95)+SUMIFS(Schedules[Team 1 Score],Schedules[Team 2 Name],B95)</f>
        <v>9605</v>
      </c>
      <c r="J95" s="115">
        <f ca="1">IFERROR(OpenMxD[[#This Row],[Conceded Score]]/OpenMxD[[#This Row],[Total Score]],0%)</f>
        <v>1.050300710770913</v>
      </c>
    </row>
    <row r="96" spans="1:10" x14ac:dyDescent="0.25">
      <c r="A96" s="102" t="str">
        <f>'Registrations'!A81</f>
        <v>Open Mixed Doubles</v>
      </c>
      <c r="B96" s="108">
        <f>'Registrations'!E81</f>
        <v>0</v>
      </c>
      <c r="C96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6" s="102">
        <f ca="1">OpenMxD[[#This Row],[Wins]]*3</f>
        <v>987</v>
      </c>
      <c r="E96" s="102">
        <f ca="1">COUNTIF(Schedules[Team 1 Name], B96) + COUNTIF(Schedules[Team 2 Name], B96)</f>
        <v>756</v>
      </c>
      <c r="F96" s="102">
        <f ca="1">COUNTIFS(Schedules[Team 1 Name], B96, Schedules[Team 1 Outcome], "Win") + COUNTIFS(Schedules[Team 2 Name], B96, Schedules[Team 2 Outcome], "Win")</f>
        <v>329</v>
      </c>
      <c r="G96" s="115">
        <f>IFERROR(OpenSingles[[#This Row],[Wins]]/OpenSingles[[#This Row],[Matches Played]],0%)</f>
        <v>0</v>
      </c>
      <c r="H96" s="102">
        <f ca="1">SUMIFS(Schedules[Team 1 Score],Schedules[Team 1 Name],B96)+SUMIFS(Schedules[Team 2 Score],Schedules[Team 2 Name],B96)</f>
        <v>9145</v>
      </c>
      <c r="I96" s="102">
        <f ca="1">SUMIFS(Schedules[Team 2 Score],Schedules[Team 1 Name],B96)+SUMIFS(Schedules[Team 1 Score],Schedules[Team 2 Name],B96)</f>
        <v>9605</v>
      </c>
      <c r="J96" s="115">
        <f ca="1">IFERROR(OpenMxD[[#This Row],[Conceded Score]]/OpenMxD[[#This Row],[Total Score]],0%)</f>
        <v>1.050300710770913</v>
      </c>
    </row>
    <row r="97" spans="1:10" x14ac:dyDescent="0.25">
      <c r="A97" s="102" t="str">
        <f>'Registrations'!A82</f>
        <v>Open Mixed Doubles</v>
      </c>
      <c r="B97" s="108">
        <f>'Registrations'!E82</f>
        <v>0</v>
      </c>
      <c r="C97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7" s="102">
        <f ca="1">OpenMxD[[#This Row],[Wins]]*3</f>
        <v>987</v>
      </c>
      <c r="E97" s="102">
        <f ca="1">COUNTIF(Schedules[Team 1 Name], B97) + COUNTIF(Schedules[Team 2 Name], B97)</f>
        <v>756</v>
      </c>
      <c r="F97" s="102">
        <f ca="1">COUNTIFS(Schedules[Team 1 Name], B97, Schedules[Team 1 Outcome], "Win") + COUNTIFS(Schedules[Team 2 Name], B97, Schedules[Team 2 Outcome], "Win")</f>
        <v>329</v>
      </c>
      <c r="G97" s="115">
        <f>IFERROR(OpenSingles[[#This Row],[Wins]]/OpenSingles[[#This Row],[Matches Played]],0%)</f>
        <v>0</v>
      </c>
      <c r="H97" s="102">
        <f ca="1">SUMIFS(Schedules[Team 1 Score],Schedules[Team 1 Name],B97)+SUMIFS(Schedules[Team 2 Score],Schedules[Team 2 Name],B97)</f>
        <v>9145</v>
      </c>
      <c r="I97" s="102">
        <f ca="1">SUMIFS(Schedules[Team 2 Score],Schedules[Team 1 Name],B97)+SUMIFS(Schedules[Team 1 Score],Schedules[Team 2 Name],B97)</f>
        <v>9605</v>
      </c>
      <c r="J97" s="115">
        <f ca="1">IFERROR(OpenMxD[[#This Row],[Conceded Score]]/OpenMxD[[#This Row],[Total Score]],0%)</f>
        <v>1.050300710770913</v>
      </c>
    </row>
    <row r="98" spans="1:10" x14ac:dyDescent="0.25">
      <c r="A98" s="102" t="str">
        <f>'Registrations'!A83</f>
        <v>Open Mixed Doubles</v>
      </c>
      <c r="B98" s="108">
        <f>'Registrations'!E83</f>
        <v>0</v>
      </c>
      <c r="C98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8" s="102">
        <f ca="1">OpenMxD[[#This Row],[Wins]]*3</f>
        <v>987</v>
      </c>
      <c r="E98" s="102">
        <f ca="1">COUNTIF(Schedules[Team 1 Name], B98) + COUNTIF(Schedules[Team 2 Name], B98)</f>
        <v>756</v>
      </c>
      <c r="F98" s="102">
        <f ca="1">COUNTIFS(Schedules[Team 1 Name], B98, Schedules[Team 1 Outcome], "Win") + COUNTIFS(Schedules[Team 2 Name], B98, Schedules[Team 2 Outcome], "Win")</f>
        <v>329</v>
      </c>
      <c r="G98" s="115">
        <f>IFERROR(OpenSingles[[#This Row],[Wins]]/OpenSingles[[#This Row],[Matches Played]],0%)</f>
        <v>0</v>
      </c>
      <c r="H98" s="102">
        <f ca="1">SUMIFS(Schedules[Team 1 Score],Schedules[Team 1 Name],B98)+SUMIFS(Schedules[Team 2 Score],Schedules[Team 2 Name],B98)</f>
        <v>9145</v>
      </c>
      <c r="I98" s="102">
        <f ca="1">SUMIFS(Schedules[Team 2 Score],Schedules[Team 1 Name],B98)+SUMIFS(Schedules[Team 1 Score],Schedules[Team 2 Name],B98)</f>
        <v>9605</v>
      </c>
      <c r="J98" s="115">
        <f ca="1">IFERROR(OpenMxD[[#This Row],[Conceded Score]]/OpenMxD[[#This Row],[Total Score]],0%)</f>
        <v>1.050300710770913</v>
      </c>
    </row>
    <row r="99" spans="1:10" x14ac:dyDescent="0.25">
      <c r="A99" s="102" t="str">
        <f>'Registrations'!A84</f>
        <v>Open Mixed Doubles</v>
      </c>
      <c r="B99" s="108">
        <f>'Registrations'!E84</f>
        <v>0</v>
      </c>
      <c r="C99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99" s="102">
        <f ca="1">OpenMxD[[#This Row],[Wins]]*3</f>
        <v>987</v>
      </c>
      <c r="E99" s="102">
        <f ca="1">COUNTIF(Schedules[Team 1 Name], B99) + COUNTIF(Schedules[Team 2 Name], B99)</f>
        <v>756</v>
      </c>
      <c r="F99" s="102">
        <f ca="1">COUNTIFS(Schedules[Team 1 Name], B99, Schedules[Team 1 Outcome], "Win") + COUNTIFS(Schedules[Team 2 Name], B99, Schedules[Team 2 Outcome], "Win")</f>
        <v>329</v>
      </c>
      <c r="G99" s="115">
        <f>IFERROR(OpenSingles[[#This Row],[Wins]]/OpenSingles[[#This Row],[Matches Played]],0%)</f>
        <v>0</v>
      </c>
      <c r="H99" s="102">
        <f ca="1">SUMIFS(Schedules[Team 1 Score],Schedules[Team 1 Name],B99)+SUMIFS(Schedules[Team 2 Score],Schedules[Team 2 Name],B99)</f>
        <v>9145</v>
      </c>
      <c r="I99" s="102">
        <f ca="1">SUMIFS(Schedules[Team 2 Score],Schedules[Team 1 Name],B99)+SUMIFS(Schedules[Team 1 Score],Schedules[Team 2 Name],B99)</f>
        <v>9605</v>
      </c>
      <c r="J99" s="115">
        <f ca="1">IFERROR(OpenMxD[[#This Row],[Conceded Score]]/OpenMxD[[#This Row],[Total Score]],0%)</f>
        <v>1.050300710770913</v>
      </c>
    </row>
    <row r="100" spans="1:10" x14ac:dyDescent="0.25">
      <c r="A100" s="102" t="str">
        <f>'Registrations'!A85</f>
        <v>Open Mixed Doubles</v>
      </c>
      <c r="B100" s="108">
        <f>'Registrations'!E85</f>
        <v>0</v>
      </c>
      <c r="C100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0" s="102">
        <f ca="1">OpenMxD[[#This Row],[Wins]]*3</f>
        <v>987</v>
      </c>
      <c r="E100" s="102">
        <f ca="1">COUNTIF(Schedules[Team 1 Name], B100) + COUNTIF(Schedules[Team 2 Name], B100)</f>
        <v>756</v>
      </c>
      <c r="F100" s="102">
        <f ca="1">COUNTIFS(Schedules[Team 1 Name], B100, Schedules[Team 1 Outcome], "Win") + COUNTIFS(Schedules[Team 2 Name], B100, Schedules[Team 2 Outcome], "Win")</f>
        <v>329</v>
      </c>
      <c r="G100" s="115">
        <f>IFERROR(OpenSingles[[#This Row],[Wins]]/OpenSingles[[#This Row],[Matches Played]],0%)</f>
        <v>0</v>
      </c>
      <c r="H100" s="102">
        <f ca="1">SUMIFS(Schedules[Team 1 Score],Schedules[Team 1 Name],B100)+SUMIFS(Schedules[Team 2 Score],Schedules[Team 2 Name],B100)</f>
        <v>9145</v>
      </c>
      <c r="I100" s="102">
        <f ca="1">SUMIFS(Schedules[Team 2 Score],Schedules[Team 1 Name],B100)+SUMIFS(Schedules[Team 1 Score],Schedules[Team 2 Name],B100)</f>
        <v>9605</v>
      </c>
      <c r="J100" s="115">
        <f ca="1">IFERROR(OpenMxD[[#This Row],[Conceded Score]]/OpenMxD[[#This Row],[Total Score]],0%)</f>
        <v>1.050300710770913</v>
      </c>
    </row>
    <row r="101" spans="1:10" x14ac:dyDescent="0.25">
      <c r="A101" s="102" t="str">
        <f>'Registrations'!A86</f>
        <v>Open Mixed Doubles</v>
      </c>
      <c r="B101" s="108">
        <f>'Registrations'!E86</f>
        <v>0</v>
      </c>
      <c r="C101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1" s="102">
        <f ca="1">OpenMxD[[#This Row],[Wins]]*3</f>
        <v>987</v>
      </c>
      <c r="E101" s="102">
        <f ca="1">COUNTIF(Schedules[Team 1 Name], B101) + COUNTIF(Schedules[Team 2 Name], B101)</f>
        <v>756</v>
      </c>
      <c r="F101" s="102">
        <f ca="1">COUNTIFS(Schedules[Team 1 Name], B101, Schedules[Team 1 Outcome], "Win") + COUNTIFS(Schedules[Team 2 Name], B101, Schedules[Team 2 Outcome], "Win")</f>
        <v>329</v>
      </c>
      <c r="G101" s="115">
        <f>IFERROR(OpenSingles[[#This Row],[Wins]]/OpenSingles[[#This Row],[Matches Played]],0%)</f>
        <v>0</v>
      </c>
      <c r="H101" s="102">
        <f ca="1">SUMIFS(Schedules[Team 1 Score],Schedules[Team 1 Name],B101)+SUMIFS(Schedules[Team 2 Score],Schedules[Team 2 Name],B101)</f>
        <v>9145</v>
      </c>
      <c r="I101" s="102">
        <f ca="1">SUMIFS(Schedules[Team 2 Score],Schedules[Team 1 Name],B101)+SUMIFS(Schedules[Team 1 Score],Schedules[Team 2 Name],B101)</f>
        <v>9605</v>
      </c>
      <c r="J101" s="115">
        <f ca="1">IFERROR(OpenMxD[[#This Row],[Conceded Score]]/OpenMxD[[#This Row],[Total Score]],0%)</f>
        <v>1.050300710770913</v>
      </c>
    </row>
    <row r="102" spans="1:10" x14ac:dyDescent="0.25">
      <c r="A102" s="102" t="str">
        <f>'Registrations'!A87</f>
        <v>Open Mixed Doubles</v>
      </c>
      <c r="B102" s="108">
        <f>'Registrations'!E87</f>
        <v>0</v>
      </c>
      <c r="C102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2" s="102">
        <f ca="1">OpenMxD[[#This Row],[Wins]]*3</f>
        <v>987</v>
      </c>
      <c r="E102" s="102">
        <f ca="1">COUNTIF(Schedules[Team 1 Name], B102) + COUNTIF(Schedules[Team 2 Name], B102)</f>
        <v>756</v>
      </c>
      <c r="F102" s="102">
        <f ca="1">COUNTIFS(Schedules[Team 1 Name], B102, Schedules[Team 1 Outcome], "Win") + COUNTIFS(Schedules[Team 2 Name], B102, Schedules[Team 2 Outcome], "Win")</f>
        <v>329</v>
      </c>
      <c r="G102" s="115">
        <f>IFERROR(OpenSingles[[#This Row],[Wins]]/OpenSingles[[#This Row],[Matches Played]],0%)</f>
        <v>0</v>
      </c>
      <c r="H102" s="102">
        <f ca="1">SUMIFS(Schedules[Team 1 Score],Schedules[Team 1 Name],B102)+SUMIFS(Schedules[Team 2 Score],Schedules[Team 2 Name],B102)</f>
        <v>9145</v>
      </c>
      <c r="I102" s="102">
        <f ca="1">SUMIFS(Schedules[Team 2 Score],Schedules[Team 1 Name],B102)+SUMIFS(Schedules[Team 1 Score],Schedules[Team 2 Name],B102)</f>
        <v>9605</v>
      </c>
      <c r="J102" s="115">
        <f ca="1">IFERROR(OpenMxD[[#This Row],[Conceded Score]]/OpenMxD[[#This Row],[Total Score]],0%)</f>
        <v>1.050300710770913</v>
      </c>
    </row>
    <row r="103" spans="1:10" x14ac:dyDescent="0.25">
      <c r="A103" s="102" t="str">
        <f>'Registrations'!A88</f>
        <v>Open Mixed Doubles</v>
      </c>
      <c r="B103" s="108">
        <f>'Registrations'!E88</f>
        <v>0</v>
      </c>
      <c r="C103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3" s="102">
        <f ca="1">OpenMxD[[#This Row],[Wins]]*3</f>
        <v>987</v>
      </c>
      <c r="E103" s="102">
        <f ca="1">COUNTIF(Schedules[Team 1 Name], B103) + COUNTIF(Schedules[Team 2 Name], B103)</f>
        <v>756</v>
      </c>
      <c r="F103" s="102">
        <f ca="1">COUNTIFS(Schedules[Team 1 Name], B103, Schedules[Team 1 Outcome], "Win") + COUNTIFS(Schedules[Team 2 Name], B103, Schedules[Team 2 Outcome], "Win")</f>
        <v>329</v>
      </c>
      <c r="G103" s="115">
        <f>IFERROR(OpenSingles[[#This Row],[Wins]]/OpenSingles[[#This Row],[Matches Played]],0%)</f>
        <v>0</v>
      </c>
      <c r="H103" s="102">
        <f ca="1">SUMIFS(Schedules[Team 1 Score],Schedules[Team 1 Name],B103)+SUMIFS(Schedules[Team 2 Score],Schedules[Team 2 Name],B103)</f>
        <v>9145</v>
      </c>
      <c r="I103" s="102">
        <f ca="1">SUMIFS(Schedules[Team 2 Score],Schedules[Team 1 Name],B103)+SUMIFS(Schedules[Team 1 Score],Schedules[Team 2 Name],B103)</f>
        <v>9605</v>
      </c>
      <c r="J103" s="115">
        <f ca="1">IFERROR(OpenMxD[[#This Row],[Conceded Score]]/OpenMxD[[#This Row],[Total Score]],0%)</f>
        <v>1.050300710770913</v>
      </c>
    </row>
    <row r="104" spans="1:10" x14ac:dyDescent="0.25">
      <c r="A104" s="102" t="str">
        <f>'Registrations'!A89</f>
        <v>Open Mixed Doubles</v>
      </c>
      <c r="B104" s="108">
        <f>'Registrations'!E89</f>
        <v>0</v>
      </c>
      <c r="C104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4" s="102">
        <f ca="1">OpenMxD[[#This Row],[Wins]]*3</f>
        <v>987</v>
      </c>
      <c r="E104" s="102">
        <f ca="1">COUNTIF(Schedules[Team 1 Name], B104) + COUNTIF(Schedules[Team 2 Name], B104)</f>
        <v>756</v>
      </c>
      <c r="F104" s="102">
        <f ca="1">COUNTIFS(Schedules[Team 1 Name], B104, Schedules[Team 1 Outcome], "Win") + COUNTIFS(Schedules[Team 2 Name], B104, Schedules[Team 2 Outcome], "Win")</f>
        <v>329</v>
      </c>
      <c r="G104" s="115">
        <f>IFERROR(OpenSingles[[#This Row],[Wins]]/OpenSingles[[#This Row],[Matches Played]],0%)</f>
        <v>0</v>
      </c>
      <c r="H104" s="102">
        <f ca="1">SUMIFS(Schedules[Team 1 Score],Schedules[Team 1 Name],B104)+SUMIFS(Schedules[Team 2 Score],Schedules[Team 2 Name],B104)</f>
        <v>9145</v>
      </c>
      <c r="I104" s="102">
        <f ca="1">SUMIFS(Schedules[Team 2 Score],Schedules[Team 1 Name],B104)+SUMIFS(Schedules[Team 1 Score],Schedules[Team 2 Name],B104)</f>
        <v>9605</v>
      </c>
      <c r="J104" s="115">
        <f ca="1">IFERROR(OpenMxD[[#This Row],[Conceded Score]]/OpenMxD[[#This Row],[Total Score]],0%)</f>
        <v>1.050300710770913</v>
      </c>
    </row>
    <row r="105" spans="1:10" x14ac:dyDescent="0.25">
      <c r="A105" s="102" t="str">
        <f>'Registrations'!A90</f>
        <v>Open Mixed Doubles</v>
      </c>
      <c r="B105" s="108">
        <f>'Registrations'!E90</f>
        <v>0</v>
      </c>
      <c r="C105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5" s="102">
        <f ca="1">OpenMxD[[#This Row],[Wins]]*3</f>
        <v>987</v>
      </c>
      <c r="E105" s="102">
        <f ca="1">COUNTIF(Schedules[Team 1 Name], B105) + COUNTIF(Schedules[Team 2 Name], B105)</f>
        <v>756</v>
      </c>
      <c r="F105" s="102">
        <f ca="1">COUNTIFS(Schedules[Team 1 Name], B105, Schedules[Team 1 Outcome], "Win") + COUNTIFS(Schedules[Team 2 Name], B105, Schedules[Team 2 Outcome], "Win")</f>
        <v>329</v>
      </c>
      <c r="G105" s="115">
        <f>IFERROR(OpenSingles[[#This Row],[Wins]]/OpenSingles[[#This Row],[Matches Played]],0%)</f>
        <v>0</v>
      </c>
      <c r="H105" s="102">
        <f ca="1">SUMIFS(Schedules[Team 1 Score],Schedules[Team 1 Name],B105)+SUMIFS(Schedules[Team 2 Score],Schedules[Team 2 Name],B105)</f>
        <v>9145</v>
      </c>
      <c r="I105" s="102">
        <f ca="1">SUMIFS(Schedules[Team 2 Score],Schedules[Team 1 Name],B105)+SUMIFS(Schedules[Team 1 Score],Schedules[Team 2 Name],B105)</f>
        <v>9605</v>
      </c>
      <c r="J105" s="115">
        <f ca="1">IFERROR(OpenMxD[[#This Row],[Conceded Score]]/OpenMxD[[#This Row],[Total Score]],0%)</f>
        <v>1.050300710770913</v>
      </c>
    </row>
    <row r="106" spans="1:10" x14ac:dyDescent="0.25">
      <c r="A106" s="102" t="str">
        <f>'Registrations'!A91</f>
        <v>Open Mixed Doubles</v>
      </c>
      <c r="B106" s="108">
        <f>'Registrations'!E91</f>
        <v>0</v>
      </c>
      <c r="C106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6" s="102">
        <f ca="1">OpenMxD[[#This Row],[Wins]]*3</f>
        <v>987</v>
      </c>
      <c r="E106" s="102">
        <f ca="1">COUNTIF(Schedules[Team 1 Name], B106) + COUNTIF(Schedules[Team 2 Name], B106)</f>
        <v>756</v>
      </c>
      <c r="F106" s="102">
        <f ca="1">COUNTIFS(Schedules[Team 1 Name], B106, Schedules[Team 1 Outcome], "Win") + COUNTIFS(Schedules[Team 2 Name], B106, Schedules[Team 2 Outcome], "Win")</f>
        <v>329</v>
      </c>
      <c r="G106" s="115">
        <f>IFERROR(OpenSingles[[#This Row],[Wins]]/OpenSingles[[#This Row],[Matches Played]],0%)</f>
        <v>0</v>
      </c>
      <c r="H106" s="102">
        <f ca="1">SUMIFS(Schedules[Team 1 Score],Schedules[Team 1 Name],B106)+SUMIFS(Schedules[Team 2 Score],Schedules[Team 2 Name],B106)</f>
        <v>9145</v>
      </c>
      <c r="I106" s="102">
        <f ca="1">SUMIFS(Schedules[Team 2 Score],Schedules[Team 1 Name],B106)+SUMIFS(Schedules[Team 1 Score],Schedules[Team 2 Name],B106)</f>
        <v>9605</v>
      </c>
      <c r="J106" s="115">
        <f ca="1">IFERROR(OpenMxD[[#This Row],[Conceded Score]]/OpenMxD[[#This Row],[Total Score]],0%)</f>
        <v>1.050300710770913</v>
      </c>
    </row>
    <row r="107" spans="1:10" x14ac:dyDescent="0.25">
      <c r="A107" s="102" t="str">
        <f>'Registrations'!A92</f>
        <v>Open Mixed Doubles</v>
      </c>
      <c r="B107" s="108">
        <f>'Registrations'!E92</f>
        <v>0</v>
      </c>
      <c r="C107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7" s="102">
        <f ca="1">OpenMxD[[#This Row],[Wins]]*3</f>
        <v>987</v>
      </c>
      <c r="E107" s="102">
        <f ca="1">COUNTIF(Schedules[Team 1 Name], B107) + COUNTIF(Schedules[Team 2 Name], B107)</f>
        <v>756</v>
      </c>
      <c r="F107" s="102">
        <f ca="1">COUNTIFS(Schedules[Team 1 Name], B107, Schedules[Team 1 Outcome], "Win") + COUNTIFS(Schedules[Team 2 Name], B107, Schedules[Team 2 Outcome], "Win")</f>
        <v>329</v>
      </c>
      <c r="G107" s="115">
        <f>IFERROR(OpenSingles[[#This Row],[Wins]]/OpenSingles[[#This Row],[Matches Played]],0%)</f>
        <v>0</v>
      </c>
      <c r="H107" s="102">
        <f ca="1">SUMIFS(Schedules[Team 1 Score],Schedules[Team 1 Name],B107)+SUMIFS(Schedules[Team 2 Score],Schedules[Team 2 Name],B107)</f>
        <v>9145</v>
      </c>
      <c r="I107" s="102">
        <f ca="1">SUMIFS(Schedules[Team 2 Score],Schedules[Team 1 Name],B107)+SUMIFS(Schedules[Team 1 Score],Schedules[Team 2 Name],B107)</f>
        <v>9605</v>
      </c>
      <c r="J107" s="115">
        <f ca="1">IFERROR(OpenMxD[[#This Row],[Conceded Score]]/OpenMxD[[#This Row],[Total Score]],0%)</f>
        <v>1.050300710770913</v>
      </c>
    </row>
    <row r="108" spans="1:10" x14ac:dyDescent="0.25">
      <c r="A108" s="102" t="str">
        <f>'Registrations'!A93</f>
        <v>Open Mixed Doubles</v>
      </c>
      <c r="B108" s="108">
        <f>'Registrations'!E93</f>
        <v>0</v>
      </c>
      <c r="C108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8" s="102">
        <f ca="1">OpenMxD[[#This Row],[Wins]]*3</f>
        <v>987</v>
      </c>
      <c r="E108" s="102">
        <f ca="1">COUNTIF(Schedules[Team 1 Name], B108) + COUNTIF(Schedules[Team 2 Name], B108)</f>
        <v>756</v>
      </c>
      <c r="F108" s="102">
        <f ca="1">COUNTIFS(Schedules[Team 1 Name], B108, Schedules[Team 1 Outcome], "Win") + COUNTIFS(Schedules[Team 2 Name], B108, Schedules[Team 2 Outcome], "Win")</f>
        <v>329</v>
      </c>
      <c r="G108" s="115">
        <f>IFERROR(OpenSingles[[#This Row],[Wins]]/OpenSingles[[#This Row],[Matches Played]],0%)</f>
        <v>0</v>
      </c>
      <c r="H108" s="102">
        <f ca="1">SUMIFS(Schedules[Team 1 Score],Schedules[Team 1 Name],B108)+SUMIFS(Schedules[Team 2 Score],Schedules[Team 2 Name],B108)</f>
        <v>9145</v>
      </c>
      <c r="I108" s="102">
        <f ca="1">SUMIFS(Schedules[Team 2 Score],Schedules[Team 1 Name],B108)+SUMIFS(Schedules[Team 1 Score],Schedules[Team 2 Name],B108)</f>
        <v>9605</v>
      </c>
      <c r="J108" s="115">
        <f ca="1">IFERROR(OpenMxD[[#This Row],[Conceded Score]]/OpenMxD[[#This Row],[Total Score]],0%)</f>
        <v>1.050300710770913</v>
      </c>
    </row>
    <row r="109" spans="1:10" x14ac:dyDescent="0.25">
      <c r="A109" s="102" t="str">
        <f>'Registrations'!A94</f>
        <v>Open Mixed Doubles</v>
      </c>
      <c r="B109" s="108">
        <f>'Registrations'!E94</f>
        <v>0</v>
      </c>
      <c r="C109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09" s="102">
        <f ca="1">OpenMxD[[#This Row],[Wins]]*3</f>
        <v>987</v>
      </c>
      <c r="E109" s="102">
        <f ca="1">COUNTIF(Schedules[Team 1 Name], B109) + COUNTIF(Schedules[Team 2 Name], B109)</f>
        <v>756</v>
      </c>
      <c r="F109" s="102">
        <f ca="1">COUNTIFS(Schedules[Team 1 Name], B109, Schedules[Team 1 Outcome], "Win") + COUNTIFS(Schedules[Team 2 Name], B109, Schedules[Team 2 Outcome], "Win")</f>
        <v>329</v>
      </c>
      <c r="G109" s="115">
        <f>IFERROR(OpenSingles[[#This Row],[Wins]]/OpenSingles[[#This Row],[Matches Played]],0%)</f>
        <v>0</v>
      </c>
      <c r="H109" s="102">
        <f ca="1">SUMIFS(Schedules[Team 1 Score],Schedules[Team 1 Name],B109)+SUMIFS(Schedules[Team 2 Score],Schedules[Team 2 Name],B109)</f>
        <v>9145</v>
      </c>
      <c r="I109" s="102">
        <f ca="1">SUMIFS(Schedules[Team 2 Score],Schedules[Team 1 Name],B109)+SUMIFS(Schedules[Team 1 Score],Schedules[Team 2 Name],B109)</f>
        <v>9605</v>
      </c>
      <c r="J109" s="115">
        <f ca="1">IFERROR(OpenMxD[[#This Row],[Conceded Score]]/OpenMxD[[#This Row],[Total Score]],0%)</f>
        <v>1.050300710770913</v>
      </c>
    </row>
    <row r="110" spans="1:10" x14ac:dyDescent="0.25">
      <c r="A110" s="102" t="str">
        <f>'Registrations'!A95</f>
        <v>Open Mixed Doubles</v>
      </c>
      <c r="B110" s="108">
        <f>'Registrations'!E95</f>
        <v>0</v>
      </c>
      <c r="C110" s="102">
        <f ca="1">_xlfn.RANK.EQ(OpenMxD[[#This Row],[Points]],OpenMxD[Points],0)+COUNTIFS(OpenMxD[Points],OpenMxD[[#This Row],[Points]],OpenMxD[Concession ratio %],"&lt;"&amp;OpenMxD[[#This Row],[Concession ratio %]])+COUNTIFS(OpenMxD[Points],OpenMxD[[#This Row],[Points]],OpenMxD[Concession ratio %],OpenMxD[[#This Row],[Concession ratio %]],OpenMxD[Teams],"&lt;"&amp;OpenMxD[[#This Row],[Teams]])</f>
        <v>1</v>
      </c>
      <c r="D110" s="102">
        <f ca="1">OpenMxD[[#This Row],[Wins]]*3</f>
        <v>987</v>
      </c>
      <c r="E110" s="102">
        <f ca="1">COUNTIF(Schedules[Team 1 Name], B110) + COUNTIF(Schedules[Team 2 Name], B110)</f>
        <v>756</v>
      </c>
      <c r="F110" s="102">
        <f ca="1">COUNTIFS(Schedules[Team 1 Name], B110, Schedules[Team 1 Outcome], "Win") + COUNTIFS(Schedules[Team 2 Name], B110, Schedules[Team 2 Outcome], "Win")</f>
        <v>329</v>
      </c>
      <c r="G110" s="115">
        <f>IFERROR(OpenSingles[[#This Row],[Wins]]/OpenSingles[[#This Row],[Matches Played]],0%)</f>
        <v>0</v>
      </c>
      <c r="H110" s="102">
        <f ca="1">SUMIFS(Schedules[Team 1 Score],Schedules[Team 1 Name],B110)+SUMIFS(Schedules[Team 2 Score],Schedules[Team 2 Name],B110)</f>
        <v>9145</v>
      </c>
      <c r="I110" s="102">
        <f ca="1">SUMIFS(Schedules[Team 2 Score],Schedules[Team 1 Name],B110)+SUMIFS(Schedules[Team 1 Score],Schedules[Team 2 Name],B110)</f>
        <v>9605</v>
      </c>
      <c r="J110" s="115">
        <f ca="1">IFERROR(OpenMxD[[#This Row],[Conceded Score]]/OpenMxD[[#This Row],[Total Score]],0%)</f>
        <v>1.050300710770913</v>
      </c>
    </row>
    <row r="111" spans="1:10" x14ac:dyDescent="0.25">
      <c r="B111" s="108"/>
      <c r="G111" s="115"/>
      <c r="J111" s="115"/>
    </row>
    <row r="112" spans="1:10" ht="11" thickBot="1" x14ac:dyDescent="0.3">
      <c r="B112" s="108"/>
      <c r="G112" s="115"/>
      <c r="J112" s="115"/>
    </row>
    <row r="113" spans="1:10" x14ac:dyDescent="0.25">
      <c r="A113" s="122" t="s">
        <v>495</v>
      </c>
      <c r="B113" s="123"/>
      <c r="C113" s="123"/>
      <c r="D113" s="123"/>
      <c r="E113" s="123"/>
      <c r="F113" s="123"/>
      <c r="G113" s="123"/>
      <c r="H113" s="123"/>
      <c r="I113" s="123"/>
      <c r="J113" s="124"/>
    </row>
    <row r="114" spans="1:10" x14ac:dyDescent="0.25">
      <c r="A114" s="125"/>
      <c r="B114" s="126"/>
      <c r="C114" s="126"/>
      <c r="D114" s="126"/>
      <c r="E114" s="126"/>
      <c r="F114" s="126"/>
      <c r="G114" s="126"/>
      <c r="H114" s="126"/>
      <c r="I114" s="126"/>
      <c r="J114" s="127"/>
    </row>
    <row r="115" spans="1:10" ht="11" thickBot="1" x14ac:dyDescent="0.3">
      <c r="A115" s="116" t="s">
        <v>10</v>
      </c>
      <c r="B115" s="116" t="s">
        <v>70</v>
      </c>
      <c r="C115" s="116" t="s">
        <v>484</v>
      </c>
      <c r="D115" s="116" t="s">
        <v>485</v>
      </c>
      <c r="E115" s="116" t="s">
        <v>486</v>
      </c>
      <c r="F115" s="116" t="s">
        <v>487</v>
      </c>
      <c r="G115" s="116" t="s">
        <v>488</v>
      </c>
      <c r="H115" s="116" t="s">
        <v>489</v>
      </c>
      <c r="I115" s="116" t="s">
        <v>490</v>
      </c>
      <c r="J115" s="107" t="s">
        <v>491</v>
      </c>
    </row>
    <row r="116" spans="1:10" ht="11" thickTop="1" x14ac:dyDescent="0.25">
      <c r="A116" s="102" t="str">
        <f>'Registrations'!A96</f>
        <v>Adv Men Doubles</v>
      </c>
      <c r="B116" s="108">
        <f>'Registrations'!E96</f>
        <v>0</v>
      </c>
      <c r="C116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16" s="102">
        <f ca="1">AdvancedMD[[#This Row],[Wins]]*3</f>
        <v>987</v>
      </c>
      <c r="E116" s="102">
        <f ca="1">COUNTIF(Schedules[Team 1 Name], B116) + COUNTIF(Schedules[Team 2 Name], B116)</f>
        <v>756</v>
      </c>
      <c r="F116" s="102">
        <f ca="1">COUNTIFS(Schedules[Team 1 Name], B116, Schedules[Team 1 Outcome], "Win") + COUNTIFS(Schedules[Team 2 Name], B116, Schedules[Team 2 Outcome], "Win")</f>
        <v>329</v>
      </c>
      <c r="G116" s="115">
        <f>IFERROR(OpenSingles[[#This Row],[Wins]]/OpenSingles[[#This Row],[Matches Played]],0%)</f>
        <v>0</v>
      </c>
      <c r="H116" s="102">
        <f ca="1">SUMIFS(Schedules[Team 1 Score],Schedules[Team 1 Name],B116)+SUMIFS(Schedules[Team 2 Score],Schedules[Team 2 Name],B116)</f>
        <v>9145</v>
      </c>
      <c r="I116" s="102">
        <f ca="1">SUMIFS(Schedules[Team 2 Score],Schedules[Team 1 Name],B116)+SUMIFS(Schedules[Team 1 Score],Schedules[Team 2 Name],B116)</f>
        <v>9605</v>
      </c>
      <c r="J116" s="115">
        <f ca="1">IFERROR(AdvancedMD[[#This Row],[Conceded Score]]/AdvancedMD[[#This Row],[Total Score]],0%)</f>
        <v>1.050300710770913</v>
      </c>
    </row>
    <row r="117" spans="1:10" x14ac:dyDescent="0.25">
      <c r="A117" s="102" t="str">
        <f>'Registrations'!A97</f>
        <v>Adv Men Doubles</v>
      </c>
      <c r="B117" s="108">
        <f>'Registrations'!E97</f>
        <v>0</v>
      </c>
      <c r="C117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17" s="102">
        <f ca="1">AdvancedMD[[#This Row],[Wins]]*3</f>
        <v>987</v>
      </c>
      <c r="E117" s="102">
        <f ca="1">COUNTIF(Schedules[Team 1 Name], B117) + COUNTIF(Schedules[Team 2 Name], B117)</f>
        <v>756</v>
      </c>
      <c r="F117" s="102">
        <f ca="1">COUNTIFS(Schedules[Team 1 Name], B117, Schedules[Team 1 Outcome], "Win") + COUNTIFS(Schedules[Team 2 Name], B117, Schedules[Team 2 Outcome], "Win")</f>
        <v>329</v>
      </c>
      <c r="G117" s="115">
        <f>IFERROR(OpenSingles[[#This Row],[Wins]]/OpenSingles[[#This Row],[Matches Played]],0%)</f>
        <v>0</v>
      </c>
      <c r="H117" s="102">
        <f ca="1">SUMIFS(Schedules[Team 1 Score],Schedules[Team 1 Name],B117)+SUMIFS(Schedules[Team 2 Score],Schedules[Team 2 Name],B117)</f>
        <v>9145</v>
      </c>
      <c r="I117" s="102">
        <f ca="1">SUMIFS(Schedules[Team 2 Score],Schedules[Team 1 Name],B117)+SUMIFS(Schedules[Team 1 Score],Schedules[Team 2 Name],B117)</f>
        <v>9605</v>
      </c>
      <c r="J117" s="115">
        <f ca="1">IFERROR(AdvancedMD[[#This Row],[Conceded Score]]/AdvancedMD[[#This Row],[Total Score]],0%)</f>
        <v>1.050300710770913</v>
      </c>
    </row>
    <row r="118" spans="1:10" x14ac:dyDescent="0.25">
      <c r="A118" s="102" t="str">
        <f>'Registrations'!A98</f>
        <v>Adv Men Doubles</v>
      </c>
      <c r="B118" s="108">
        <f>'Registrations'!E98</f>
        <v>0</v>
      </c>
      <c r="C118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18" s="102">
        <f ca="1">AdvancedMD[[#This Row],[Wins]]*3</f>
        <v>987</v>
      </c>
      <c r="E118" s="102">
        <f ca="1">COUNTIF(Schedules[Team 1 Name], B118) + COUNTIF(Schedules[Team 2 Name], B118)</f>
        <v>756</v>
      </c>
      <c r="F118" s="102">
        <f ca="1">COUNTIFS(Schedules[Team 1 Name], B118, Schedules[Team 1 Outcome], "Win") + COUNTIFS(Schedules[Team 2 Name], B118, Schedules[Team 2 Outcome], "Win")</f>
        <v>329</v>
      </c>
      <c r="G118" s="115">
        <f>IFERROR(OpenSingles[[#This Row],[Wins]]/OpenSingles[[#This Row],[Matches Played]],0%)</f>
        <v>0</v>
      </c>
      <c r="H118" s="102">
        <f ca="1">SUMIFS(Schedules[Team 1 Score],Schedules[Team 1 Name],B118)+SUMIFS(Schedules[Team 2 Score],Schedules[Team 2 Name],B118)</f>
        <v>9145</v>
      </c>
      <c r="I118" s="102">
        <f ca="1">SUMIFS(Schedules[Team 2 Score],Schedules[Team 1 Name],B118)+SUMIFS(Schedules[Team 1 Score],Schedules[Team 2 Name],B118)</f>
        <v>9605</v>
      </c>
      <c r="J118" s="115">
        <f ca="1">IFERROR(AdvancedMD[[#This Row],[Conceded Score]]/AdvancedMD[[#This Row],[Total Score]],0%)</f>
        <v>1.050300710770913</v>
      </c>
    </row>
    <row r="119" spans="1:10" x14ac:dyDescent="0.25">
      <c r="A119" s="102" t="str">
        <f>'Registrations'!A99</f>
        <v>Adv Men Doubles</v>
      </c>
      <c r="B119" s="108">
        <f>'Registrations'!E99</f>
        <v>0</v>
      </c>
      <c r="C119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19" s="102">
        <f ca="1">AdvancedMD[[#This Row],[Wins]]*3</f>
        <v>987</v>
      </c>
      <c r="E119" s="102">
        <f ca="1">COUNTIF(Schedules[Team 1 Name], B119) + COUNTIF(Schedules[Team 2 Name], B119)</f>
        <v>756</v>
      </c>
      <c r="F119" s="102">
        <f ca="1">COUNTIFS(Schedules[Team 1 Name], B119, Schedules[Team 1 Outcome], "Win") + COUNTIFS(Schedules[Team 2 Name], B119, Schedules[Team 2 Outcome], "Win")</f>
        <v>329</v>
      </c>
      <c r="G119" s="115">
        <f>IFERROR(OpenSingles[[#This Row],[Wins]]/OpenSingles[[#This Row],[Matches Played]],0%)</f>
        <v>0</v>
      </c>
      <c r="H119" s="102">
        <f ca="1">SUMIFS(Schedules[Team 1 Score],Schedules[Team 1 Name],B119)+SUMIFS(Schedules[Team 2 Score],Schedules[Team 2 Name],B119)</f>
        <v>9145</v>
      </c>
      <c r="I119" s="102">
        <f ca="1">SUMIFS(Schedules[Team 2 Score],Schedules[Team 1 Name],B119)+SUMIFS(Schedules[Team 1 Score],Schedules[Team 2 Name],B119)</f>
        <v>9605</v>
      </c>
      <c r="J119" s="115">
        <f ca="1">IFERROR(AdvancedMD[[#This Row],[Conceded Score]]/AdvancedMD[[#This Row],[Total Score]],0%)</f>
        <v>1.050300710770913</v>
      </c>
    </row>
    <row r="120" spans="1:10" x14ac:dyDescent="0.25">
      <c r="A120" s="102" t="str">
        <f>'Registrations'!A100</f>
        <v>Adv Men Doubles</v>
      </c>
      <c r="B120" s="108">
        <f>'Registrations'!E100</f>
        <v>0</v>
      </c>
      <c r="C120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0" s="102">
        <f ca="1">AdvancedMD[[#This Row],[Wins]]*3</f>
        <v>987</v>
      </c>
      <c r="E120" s="102">
        <f ca="1">COUNTIF(Schedules[Team 1 Name], B120) + COUNTIF(Schedules[Team 2 Name], B120)</f>
        <v>756</v>
      </c>
      <c r="F120" s="102">
        <f ca="1">COUNTIFS(Schedules[Team 1 Name], B120, Schedules[Team 1 Outcome], "Win") + COUNTIFS(Schedules[Team 2 Name], B120, Schedules[Team 2 Outcome], "Win")</f>
        <v>329</v>
      </c>
      <c r="G120" s="115">
        <f>IFERROR(OpenSingles[[#This Row],[Wins]]/OpenSingles[[#This Row],[Matches Played]],0%)</f>
        <v>0</v>
      </c>
      <c r="H120" s="102">
        <f ca="1">SUMIFS(Schedules[Team 1 Score],Schedules[Team 1 Name],B120)+SUMIFS(Schedules[Team 2 Score],Schedules[Team 2 Name],B120)</f>
        <v>9145</v>
      </c>
      <c r="I120" s="102">
        <f ca="1">SUMIFS(Schedules[Team 2 Score],Schedules[Team 1 Name],B120)+SUMIFS(Schedules[Team 1 Score],Schedules[Team 2 Name],B120)</f>
        <v>9605</v>
      </c>
      <c r="J120" s="115">
        <f ca="1">IFERROR(AdvancedMD[[#This Row],[Conceded Score]]/AdvancedMD[[#This Row],[Total Score]],0%)</f>
        <v>1.050300710770913</v>
      </c>
    </row>
    <row r="121" spans="1:10" x14ac:dyDescent="0.25">
      <c r="A121" s="102" t="str">
        <f>'Registrations'!A101</f>
        <v>Adv Men Doubles</v>
      </c>
      <c r="B121" s="108">
        <f>'Registrations'!E101</f>
        <v>0</v>
      </c>
      <c r="C121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1" s="102">
        <f ca="1">AdvancedMD[[#This Row],[Wins]]*3</f>
        <v>987</v>
      </c>
      <c r="E121" s="102">
        <f ca="1">COUNTIF(Schedules[Team 1 Name], B121) + COUNTIF(Schedules[Team 2 Name], B121)</f>
        <v>756</v>
      </c>
      <c r="F121" s="102">
        <f ca="1">COUNTIFS(Schedules[Team 1 Name], B121, Schedules[Team 1 Outcome], "Win") + COUNTIFS(Schedules[Team 2 Name], B121, Schedules[Team 2 Outcome], "Win")</f>
        <v>329</v>
      </c>
      <c r="G121" s="115">
        <f>IFERROR(OpenSingles[[#This Row],[Wins]]/OpenSingles[[#This Row],[Matches Played]],0%)</f>
        <v>0</v>
      </c>
      <c r="H121" s="102">
        <f ca="1">SUMIFS(Schedules[Team 1 Score],Schedules[Team 1 Name],B121)+SUMIFS(Schedules[Team 2 Score],Schedules[Team 2 Name],B121)</f>
        <v>9145</v>
      </c>
      <c r="I121" s="102">
        <f ca="1">SUMIFS(Schedules[Team 2 Score],Schedules[Team 1 Name],B121)+SUMIFS(Schedules[Team 1 Score],Schedules[Team 2 Name],B121)</f>
        <v>9605</v>
      </c>
      <c r="J121" s="115">
        <f ca="1">IFERROR(AdvancedMD[[#This Row],[Conceded Score]]/AdvancedMD[[#This Row],[Total Score]],0%)</f>
        <v>1.050300710770913</v>
      </c>
    </row>
    <row r="122" spans="1:10" x14ac:dyDescent="0.25">
      <c r="A122" s="102" t="str">
        <f>'Registrations'!A102</f>
        <v>Adv Men Doubles</v>
      </c>
      <c r="B122" s="108">
        <f>'Registrations'!E102</f>
        <v>0</v>
      </c>
      <c r="C122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2" s="102">
        <f ca="1">AdvancedMD[[#This Row],[Wins]]*3</f>
        <v>987</v>
      </c>
      <c r="E122" s="102">
        <f ca="1">COUNTIF(Schedules[Team 1 Name], B122) + COUNTIF(Schedules[Team 2 Name], B122)</f>
        <v>756</v>
      </c>
      <c r="F122" s="102">
        <f ca="1">COUNTIFS(Schedules[Team 1 Name], B122, Schedules[Team 1 Outcome], "Win") + COUNTIFS(Schedules[Team 2 Name], B122, Schedules[Team 2 Outcome], "Win")</f>
        <v>329</v>
      </c>
      <c r="G122" s="115">
        <f>IFERROR(OpenSingles[[#This Row],[Wins]]/OpenSingles[[#This Row],[Matches Played]],0%)</f>
        <v>0</v>
      </c>
      <c r="H122" s="102">
        <f ca="1">SUMIFS(Schedules[Team 1 Score],Schedules[Team 1 Name],B122)+SUMIFS(Schedules[Team 2 Score],Schedules[Team 2 Name],B122)</f>
        <v>9145</v>
      </c>
      <c r="I122" s="102">
        <f ca="1">SUMIFS(Schedules[Team 2 Score],Schedules[Team 1 Name],B122)+SUMIFS(Schedules[Team 1 Score],Schedules[Team 2 Name],B122)</f>
        <v>9605</v>
      </c>
      <c r="J122" s="115">
        <f ca="1">IFERROR(AdvancedMD[[#This Row],[Conceded Score]]/AdvancedMD[[#This Row],[Total Score]],0%)</f>
        <v>1.050300710770913</v>
      </c>
    </row>
    <row r="123" spans="1:10" x14ac:dyDescent="0.25">
      <c r="A123" s="102" t="str">
        <f>'Registrations'!A103</f>
        <v>Adv Men Doubles</v>
      </c>
      <c r="B123" s="108">
        <f>'Registrations'!E103</f>
        <v>0</v>
      </c>
      <c r="C123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3" s="102">
        <f ca="1">AdvancedMD[[#This Row],[Wins]]*3</f>
        <v>987</v>
      </c>
      <c r="E123" s="102">
        <f ca="1">COUNTIF(Schedules[Team 1 Name], B123) + COUNTIF(Schedules[Team 2 Name], B123)</f>
        <v>756</v>
      </c>
      <c r="F123" s="102">
        <f ca="1">COUNTIFS(Schedules[Team 1 Name], B123, Schedules[Team 1 Outcome], "Win") + COUNTIFS(Schedules[Team 2 Name], B123, Schedules[Team 2 Outcome], "Win")</f>
        <v>329</v>
      </c>
      <c r="G123" s="115">
        <f>IFERROR(OpenSingles[[#This Row],[Wins]]/OpenSingles[[#This Row],[Matches Played]],0%)</f>
        <v>0</v>
      </c>
      <c r="H123" s="102">
        <f ca="1">SUMIFS(Schedules[Team 1 Score],Schedules[Team 1 Name],B123)+SUMIFS(Schedules[Team 2 Score],Schedules[Team 2 Name],B123)</f>
        <v>9145</v>
      </c>
      <c r="I123" s="102">
        <f ca="1">SUMIFS(Schedules[Team 2 Score],Schedules[Team 1 Name],B123)+SUMIFS(Schedules[Team 1 Score],Schedules[Team 2 Name],B123)</f>
        <v>9605</v>
      </c>
      <c r="J123" s="115">
        <f ca="1">IFERROR(AdvancedMD[[#This Row],[Conceded Score]]/AdvancedMD[[#This Row],[Total Score]],0%)</f>
        <v>1.050300710770913</v>
      </c>
    </row>
    <row r="124" spans="1:10" x14ac:dyDescent="0.25">
      <c r="A124" s="102" t="str">
        <f>'Registrations'!A104</f>
        <v>Adv Men Doubles</v>
      </c>
      <c r="B124" s="108">
        <f>'Registrations'!E104</f>
        <v>0</v>
      </c>
      <c r="C124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4" s="102">
        <f ca="1">AdvancedMD[[#This Row],[Wins]]*3</f>
        <v>987</v>
      </c>
      <c r="E124" s="102">
        <f ca="1">COUNTIF(Schedules[Team 1 Name], B124) + COUNTIF(Schedules[Team 2 Name], B124)</f>
        <v>756</v>
      </c>
      <c r="F124" s="102">
        <f ca="1">COUNTIFS(Schedules[Team 1 Name], B124, Schedules[Team 1 Outcome], "Win") + COUNTIFS(Schedules[Team 2 Name], B124, Schedules[Team 2 Outcome], "Win")</f>
        <v>329</v>
      </c>
      <c r="G124" s="115">
        <f>IFERROR(OpenSingles[[#This Row],[Wins]]/OpenSingles[[#This Row],[Matches Played]],0%)</f>
        <v>0</v>
      </c>
      <c r="H124" s="102">
        <f ca="1">SUMIFS(Schedules[Team 1 Score],Schedules[Team 1 Name],B124)+SUMIFS(Schedules[Team 2 Score],Schedules[Team 2 Name],B124)</f>
        <v>9145</v>
      </c>
      <c r="I124" s="102">
        <f ca="1">SUMIFS(Schedules[Team 2 Score],Schedules[Team 1 Name],B124)+SUMIFS(Schedules[Team 1 Score],Schedules[Team 2 Name],B124)</f>
        <v>9605</v>
      </c>
      <c r="J124" s="115">
        <f ca="1">IFERROR(AdvancedMD[[#This Row],[Conceded Score]]/AdvancedMD[[#This Row],[Total Score]],0%)</f>
        <v>1.050300710770913</v>
      </c>
    </row>
    <row r="125" spans="1:10" x14ac:dyDescent="0.25">
      <c r="A125" s="102" t="str">
        <f>'Registrations'!A105</f>
        <v>Adv Men Doubles</v>
      </c>
      <c r="B125" s="108">
        <f>'Registrations'!E105</f>
        <v>0</v>
      </c>
      <c r="C125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5" s="102">
        <f ca="1">AdvancedMD[[#This Row],[Wins]]*3</f>
        <v>987</v>
      </c>
      <c r="E125" s="102">
        <f ca="1">COUNTIF(Schedules[Team 1 Name], B125) + COUNTIF(Schedules[Team 2 Name], B125)</f>
        <v>756</v>
      </c>
      <c r="F125" s="102">
        <f ca="1">COUNTIFS(Schedules[Team 1 Name], B125, Schedules[Team 1 Outcome], "Win") + COUNTIFS(Schedules[Team 2 Name], B125, Schedules[Team 2 Outcome], "Win")</f>
        <v>329</v>
      </c>
      <c r="G125" s="115">
        <f>IFERROR(OpenSingles[[#This Row],[Wins]]/OpenSingles[[#This Row],[Matches Played]],0%)</f>
        <v>0</v>
      </c>
      <c r="H125" s="102">
        <f ca="1">SUMIFS(Schedules[Team 1 Score],Schedules[Team 1 Name],B125)+SUMIFS(Schedules[Team 2 Score],Schedules[Team 2 Name],B125)</f>
        <v>9145</v>
      </c>
      <c r="I125" s="102">
        <f ca="1">SUMIFS(Schedules[Team 2 Score],Schedules[Team 1 Name],B125)+SUMIFS(Schedules[Team 1 Score],Schedules[Team 2 Name],B125)</f>
        <v>9605</v>
      </c>
      <c r="J125" s="115">
        <f ca="1">IFERROR(AdvancedMD[[#This Row],[Conceded Score]]/AdvancedMD[[#This Row],[Total Score]],0%)</f>
        <v>1.050300710770913</v>
      </c>
    </row>
    <row r="126" spans="1:10" x14ac:dyDescent="0.25">
      <c r="A126" s="102" t="str">
        <f>'Registrations'!A106</f>
        <v>Adv Men Doubles</v>
      </c>
      <c r="B126" s="108">
        <f>'Registrations'!E106</f>
        <v>0</v>
      </c>
      <c r="C126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6" s="102">
        <f ca="1">AdvancedMD[[#This Row],[Wins]]*3</f>
        <v>987</v>
      </c>
      <c r="E126" s="102">
        <f ca="1">COUNTIF(Schedules[Team 1 Name], B126) + COUNTIF(Schedules[Team 2 Name], B126)</f>
        <v>756</v>
      </c>
      <c r="F126" s="102">
        <f ca="1">COUNTIFS(Schedules[Team 1 Name], B126, Schedules[Team 1 Outcome], "Win") + COUNTIFS(Schedules[Team 2 Name], B126, Schedules[Team 2 Outcome], "Win")</f>
        <v>329</v>
      </c>
      <c r="G126" s="115">
        <f>IFERROR(OpenSingles[[#This Row],[Wins]]/OpenSingles[[#This Row],[Matches Played]],0%)</f>
        <v>0</v>
      </c>
      <c r="H126" s="102">
        <f ca="1">SUMIFS(Schedules[Team 1 Score],Schedules[Team 1 Name],B126)+SUMIFS(Schedules[Team 2 Score],Schedules[Team 2 Name],B126)</f>
        <v>9145</v>
      </c>
      <c r="I126" s="102">
        <f ca="1">SUMIFS(Schedules[Team 2 Score],Schedules[Team 1 Name],B126)+SUMIFS(Schedules[Team 1 Score],Schedules[Team 2 Name],B126)</f>
        <v>9605</v>
      </c>
      <c r="J126" s="115">
        <f ca="1">IFERROR(AdvancedMD[[#This Row],[Conceded Score]]/AdvancedMD[[#This Row],[Total Score]],0%)</f>
        <v>1.050300710770913</v>
      </c>
    </row>
    <row r="127" spans="1:10" x14ac:dyDescent="0.25">
      <c r="A127" s="102" t="str">
        <f>'Registrations'!A107</f>
        <v>Adv Men Doubles</v>
      </c>
      <c r="B127" s="108">
        <f>'Registrations'!E107</f>
        <v>0</v>
      </c>
      <c r="C127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7" s="102">
        <f ca="1">AdvancedMD[[#This Row],[Wins]]*3</f>
        <v>987</v>
      </c>
      <c r="E127" s="102">
        <f ca="1">COUNTIF(Schedules[Team 1 Name], B127) + COUNTIF(Schedules[Team 2 Name], B127)</f>
        <v>756</v>
      </c>
      <c r="F127" s="102">
        <f ca="1">COUNTIFS(Schedules[Team 1 Name], B127, Schedules[Team 1 Outcome], "Win") + COUNTIFS(Schedules[Team 2 Name], B127, Schedules[Team 2 Outcome], "Win")</f>
        <v>329</v>
      </c>
      <c r="G127" s="115">
        <f>IFERROR(OpenSingles[[#This Row],[Wins]]/OpenSingles[[#This Row],[Matches Played]],0%)</f>
        <v>0</v>
      </c>
      <c r="H127" s="102">
        <f ca="1">SUMIFS(Schedules[Team 1 Score],Schedules[Team 1 Name],B127)+SUMIFS(Schedules[Team 2 Score],Schedules[Team 2 Name],B127)</f>
        <v>9145</v>
      </c>
      <c r="I127" s="102">
        <f ca="1">SUMIFS(Schedules[Team 2 Score],Schedules[Team 1 Name],B127)+SUMIFS(Schedules[Team 1 Score],Schedules[Team 2 Name],B127)</f>
        <v>9605</v>
      </c>
      <c r="J127" s="115">
        <f ca="1">IFERROR(AdvancedMD[[#This Row],[Conceded Score]]/AdvancedMD[[#This Row],[Total Score]],0%)</f>
        <v>1.050300710770913</v>
      </c>
    </row>
    <row r="128" spans="1:10" x14ac:dyDescent="0.25">
      <c r="A128" s="102" t="str">
        <f>'Registrations'!A108</f>
        <v>Adv Men Doubles</v>
      </c>
      <c r="B128" s="108">
        <f>'Registrations'!E108</f>
        <v>0</v>
      </c>
      <c r="C128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8" s="102">
        <f ca="1">AdvancedMD[[#This Row],[Wins]]*3</f>
        <v>987</v>
      </c>
      <c r="E128" s="102">
        <f ca="1">COUNTIF(Schedules[Team 1 Name], B128) + COUNTIF(Schedules[Team 2 Name], B128)</f>
        <v>756</v>
      </c>
      <c r="F128" s="102">
        <f ca="1">COUNTIFS(Schedules[Team 1 Name], B128, Schedules[Team 1 Outcome], "Win") + COUNTIFS(Schedules[Team 2 Name], B128, Schedules[Team 2 Outcome], "Win")</f>
        <v>329</v>
      </c>
      <c r="G128" s="115">
        <f>IFERROR(OpenSingles[[#This Row],[Wins]]/OpenSingles[[#This Row],[Matches Played]],0%)</f>
        <v>0</v>
      </c>
      <c r="H128" s="102">
        <f ca="1">SUMIFS(Schedules[Team 1 Score],Schedules[Team 1 Name],B128)+SUMIFS(Schedules[Team 2 Score],Schedules[Team 2 Name],B128)</f>
        <v>9145</v>
      </c>
      <c r="I128" s="102">
        <f ca="1">SUMIFS(Schedules[Team 2 Score],Schedules[Team 1 Name],B128)+SUMIFS(Schedules[Team 1 Score],Schedules[Team 2 Name],B128)</f>
        <v>9605</v>
      </c>
      <c r="J128" s="115">
        <f ca="1">IFERROR(AdvancedMD[[#This Row],[Conceded Score]]/AdvancedMD[[#This Row],[Total Score]],0%)</f>
        <v>1.050300710770913</v>
      </c>
    </row>
    <row r="129" spans="1:10" x14ac:dyDescent="0.25">
      <c r="A129" s="102" t="str">
        <f>'Registrations'!A109</f>
        <v>Adv Men Doubles</v>
      </c>
      <c r="B129" s="108">
        <f>'Registrations'!E109</f>
        <v>0</v>
      </c>
      <c r="C129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29" s="102">
        <f ca="1">AdvancedMD[[#This Row],[Wins]]*3</f>
        <v>987</v>
      </c>
      <c r="E129" s="102">
        <f ca="1">COUNTIF(Schedules[Team 1 Name], B129) + COUNTIF(Schedules[Team 2 Name], B129)</f>
        <v>756</v>
      </c>
      <c r="F129" s="102">
        <f ca="1">COUNTIFS(Schedules[Team 1 Name], B129, Schedules[Team 1 Outcome], "Win") + COUNTIFS(Schedules[Team 2 Name], B129, Schedules[Team 2 Outcome], "Win")</f>
        <v>329</v>
      </c>
      <c r="G129" s="115">
        <f>IFERROR(OpenSingles[[#This Row],[Wins]]/OpenSingles[[#This Row],[Matches Played]],0%)</f>
        <v>0</v>
      </c>
      <c r="H129" s="102">
        <f ca="1">SUMIFS(Schedules[Team 1 Score],Schedules[Team 1 Name],B129)+SUMIFS(Schedules[Team 2 Score],Schedules[Team 2 Name],B129)</f>
        <v>9145</v>
      </c>
      <c r="I129" s="102">
        <f ca="1">SUMIFS(Schedules[Team 2 Score],Schedules[Team 1 Name],B129)+SUMIFS(Schedules[Team 1 Score],Schedules[Team 2 Name],B129)</f>
        <v>9605</v>
      </c>
      <c r="J129" s="115">
        <f ca="1">IFERROR(AdvancedMD[[#This Row],[Conceded Score]]/AdvancedMD[[#This Row],[Total Score]],0%)</f>
        <v>1.050300710770913</v>
      </c>
    </row>
    <row r="130" spans="1:10" x14ac:dyDescent="0.25">
      <c r="A130" s="102" t="str">
        <f>'Registrations'!A110</f>
        <v>Adv Men Doubles</v>
      </c>
      <c r="B130" s="108">
        <f>'Registrations'!E110</f>
        <v>0</v>
      </c>
      <c r="C130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0" s="102">
        <f ca="1">AdvancedMD[[#This Row],[Wins]]*3</f>
        <v>987</v>
      </c>
      <c r="E130" s="102">
        <f ca="1">COUNTIF(Schedules[Team 1 Name], B130) + COUNTIF(Schedules[Team 2 Name], B130)</f>
        <v>756</v>
      </c>
      <c r="F130" s="102">
        <f ca="1">COUNTIFS(Schedules[Team 1 Name], B130, Schedules[Team 1 Outcome], "Win") + COUNTIFS(Schedules[Team 2 Name], B130, Schedules[Team 2 Outcome], "Win")</f>
        <v>329</v>
      </c>
      <c r="G130" s="115">
        <f>IFERROR(OpenSingles[[#This Row],[Wins]]/OpenSingles[[#This Row],[Matches Played]],0%)</f>
        <v>0</v>
      </c>
      <c r="H130" s="102">
        <f ca="1">SUMIFS(Schedules[Team 1 Score],Schedules[Team 1 Name],B130)+SUMIFS(Schedules[Team 2 Score],Schedules[Team 2 Name],B130)</f>
        <v>9145</v>
      </c>
      <c r="I130" s="102">
        <f ca="1">SUMIFS(Schedules[Team 2 Score],Schedules[Team 1 Name],B130)+SUMIFS(Schedules[Team 1 Score],Schedules[Team 2 Name],B130)</f>
        <v>9605</v>
      </c>
      <c r="J130" s="115">
        <f ca="1">IFERROR(AdvancedMD[[#This Row],[Conceded Score]]/AdvancedMD[[#This Row],[Total Score]],0%)</f>
        <v>1.050300710770913</v>
      </c>
    </row>
    <row r="131" spans="1:10" x14ac:dyDescent="0.25">
      <c r="A131" s="102" t="str">
        <f>'Registrations'!A111</f>
        <v>Adv Men Doubles</v>
      </c>
      <c r="B131" s="108">
        <f>'Registrations'!E111</f>
        <v>0</v>
      </c>
      <c r="C131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1" s="102">
        <f ca="1">AdvancedMD[[#This Row],[Wins]]*3</f>
        <v>987</v>
      </c>
      <c r="E131" s="102">
        <f ca="1">COUNTIF(Schedules[Team 1 Name], B131) + COUNTIF(Schedules[Team 2 Name], B131)</f>
        <v>756</v>
      </c>
      <c r="F131" s="102">
        <f ca="1">COUNTIFS(Schedules[Team 1 Name], B131, Schedules[Team 1 Outcome], "Win") + COUNTIFS(Schedules[Team 2 Name], B131, Schedules[Team 2 Outcome], "Win")</f>
        <v>329</v>
      </c>
      <c r="G131" s="115">
        <f>IFERROR(OpenSingles[[#This Row],[Wins]]/OpenSingles[[#This Row],[Matches Played]],0%)</f>
        <v>0</v>
      </c>
      <c r="H131" s="102">
        <f ca="1">SUMIFS(Schedules[Team 1 Score],Schedules[Team 1 Name],B131)+SUMIFS(Schedules[Team 2 Score],Schedules[Team 2 Name],B131)</f>
        <v>9145</v>
      </c>
      <c r="I131" s="102">
        <f ca="1">SUMIFS(Schedules[Team 2 Score],Schedules[Team 1 Name],B131)+SUMIFS(Schedules[Team 1 Score],Schedules[Team 2 Name],B131)</f>
        <v>9605</v>
      </c>
      <c r="J131" s="115">
        <f ca="1">IFERROR(AdvancedMD[[#This Row],[Conceded Score]]/AdvancedMD[[#This Row],[Total Score]],0%)</f>
        <v>1.050300710770913</v>
      </c>
    </row>
    <row r="132" spans="1:10" x14ac:dyDescent="0.25">
      <c r="A132" s="102" t="str">
        <f>'Registrations'!A112</f>
        <v>Adv Men Doubles</v>
      </c>
      <c r="B132" s="108">
        <f>'Registrations'!E112</f>
        <v>0</v>
      </c>
      <c r="C132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2" s="102">
        <f ca="1">AdvancedMD[[#This Row],[Wins]]*3</f>
        <v>987</v>
      </c>
      <c r="E132" s="102">
        <f ca="1">COUNTIF(Schedules[Team 1 Name], B132) + COUNTIF(Schedules[Team 2 Name], B132)</f>
        <v>756</v>
      </c>
      <c r="F132" s="102">
        <f ca="1">COUNTIFS(Schedules[Team 1 Name], B132, Schedules[Team 1 Outcome], "Win") + COUNTIFS(Schedules[Team 2 Name], B132, Schedules[Team 2 Outcome], "Win")</f>
        <v>329</v>
      </c>
      <c r="G132" s="115">
        <f>IFERROR(OpenSingles[[#This Row],[Wins]]/OpenSingles[[#This Row],[Matches Played]],0%)</f>
        <v>0</v>
      </c>
      <c r="H132" s="102">
        <f ca="1">SUMIFS(Schedules[Team 1 Score],Schedules[Team 1 Name],B132)+SUMIFS(Schedules[Team 2 Score],Schedules[Team 2 Name],B132)</f>
        <v>9145</v>
      </c>
      <c r="I132" s="102">
        <f ca="1">SUMIFS(Schedules[Team 2 Score],Schedules[Team 1 Name],B132)+SUMIFS(Schedules[Team 1 Score],Schedules[Team 2 Name],B132)</f>
        <v>9605</v>
      </c>
      <c r="J132" s="115">
        <f ca="1">IFERROR(AdvancedMD[[#This Row],[Conceded Score]]/AdvancedMD[[#This Row],[Total Score]],0%)</f>
        <v>1.050300710770913</v>
      </c>
    </row>
    <row r="133" spans="1:10" x14ac:dyDescent="0.25">
      <c r="A133" s="102" t="str">
        <f>'Registrations'!A113</f>
        <v>Adv Men Doubles</v>
      </c>
      <c r="B133" s="108">
        <f>'Registrations'!E113</f>
        <v>0</v>
      </c>
      <c r="C133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3" s="102">
        <f ca="1">AdvancedMD[[#This Row],[Wins]]*3</f>
        <v>987</v>
      </c>
      <c r="E133" s="102">
        <f ca="1">COUNTIF(Schedules[Team 1 Name], B133) + COUNTIF(Schedules[Team 2 Name], B133)</f>
        <v>756</v>
      </c>
      <c r="F133" s="102">
        <f ca="1">COUNTIFS(Schedules[Team 1 Name], B133, Schedules[Team 1 Outcome], "Win") + COUNTIFS(Schedules[Team 2 Name], B133, Schedules[Team 2 Outcome], "Win")</f>
        <v>329</v>
      </c>
      <c r="G133" s="115">
        <f>IFERROR(OpenSingles[[#This Row],[Wins]]/OpenSingles[[#This Row],[Matches Played]],0%)</f>
        <v>0</v>
      </c>
      <c r="H133" s="102">
        <f ca="1">SUMIFS(Schedules[Team 1 Score],Schedules[Team 1 Name],B133)+SUMIFS(Schedules[Team 2 Score],Schedules[Team 2 Name],B133)</f>
        <v>9145</v>
      </c>
      <c r="I133" s="102">
        <f ca="1">SUMIFS(Schedules[Team 2 Score],Schedules[Team 1 Name],B133)+SUMIFS(Schedules[Team 1 Score],Schedules[Team 2 Name],B133)</f>
        <v>9605</v>
      </c>
      <c r="J133" s="115">
        <f ca="1">IFERROR(AdvancedMD[[#This Row],[Conceded Score]]/AdvancedMD[[#This Row],[Total Score]],0%)</f>
        <v>1.050300710770913</v>
      </c>
    </row>
    <row r="134" spans="1:10" x14ac:dyDescent="0.25">
      <c r="A134" s="102" t="str">
        <f>'Registrations'!A114</f>
        <v>Adv Men Doubles</v>
      </c>
      <c r="B134" s="108">
        <f>'Registrations'!E114</f>
        <v>0</v>
      </c>
      <c r="C134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4" s="102">
        <f ca="1">AdvancedMD[[#This Row],[Wins]]*3</f>
        <v>987</v>
      </c>
      <c r="E134" s="102">
        <f ca="1">COUNTIF(Schedules[Team 1 Name], B134) + COUNTIF(Schedules[Team 2 Name], B134)</f>
        <v>756</v>
      </c>
      <c r="F134" s="102">
        <f ca="1">COUNTIFS(Schedules[Team 1 Name], B134, Schedules[Team 1 Outcome], "Win") + COUNTIFS(Schedules[Team 2 Name], B134, Schedules[Team 2 Outcome], "Win")</f>
        <v>329</v>
      </c>
      <c r="G134" s="115">
        <f>IFERROR(OpenSingles[[#This Row],[Wins]]/OpenSingles[[#This Row],[Matches Played]],0%)</f>
        <v>0</v>
      </c>
      <c r="H134" s="102">
        <f ca="1">SUMIFS(Schedules[Team 1 Score],Schedules[Team 1 Name],B134)+SUMIFS(Schedules[Team 2 Score],Schedules[Team 2 Name],B134)</f>
        <v>9145</v>
      </c>
      <c r="I134" s="102">
        <f ca="1">SUMIFS(Schedules[Team 2 Score],Schedules[Team 1 Name],B134)+SUMIFS(Schedules[Team 1 Score],Schedules[Team 2 Name],B134)</f>
        <v>9605</v>
      </c>
      <c r="J134" s="115">
        <f ca="1">IFERROR(AdvancedMD[[#This Row],[Conceded Score]]/AdvancedMD[[#This Row],[Total Score]],0%)</f>
        <v>1.050300710770913</v>
      </c>
    </row>
    <row r="135" spans="1:10" x14ac:dyDescent="0.25">
      <c r="A135" s="102" t="str">
        <f>'Registrations'!A115</f>
        <v>Adv Men Doubles</v>
      </c>
      <c r="B135" s="108">
        <f>'Registrations'!E115</f>
        <v>0</v>
      </c>
      <c r="C135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5" s="102">
        <f ca="1">AdvancedMD[[#This Row],[Wins]]*3</f>
        <v>987</v>
      </c>
      <c r="E135" s="102">
        <f ca="1">COUNTIF(Schedules[Team 1 Name], B135) + COUNTIF(Schedules[Team 2 Name], B135)</f>
        <v>756</v>
      </c>
      <c r="F135" s="102">
        <f ca="1">COUNTIFS(Schedules[Team 1 Name], B135, Schedules[Team 1 Outcome], "Win") + COUNTIFS(Schedules[Team 2 Name], B135, Schedules[Team 2 Outcome], "Win")</f>
        <v>329</v>
      </c>
      <c r="G135" s="115">
        <f>IFERROR(OpenSingles[[#This Row],[Wins]]/OpenSingles[[#This Row],[Matches Played]],0%)</f>
        <v>0</v>
      </c>
      <c r="H135" s="102">
        <f ca="1">SUMIFS(Schedules[Team 1 Score],Schedules[Team 1 Name],B135)+SUMIFS(Schedules[Team 2 Score],Schedules[Team 2 Name],B135)</f>
        <v>9145</v>
      </c>
      <c r="I135" s="102">
        <f ca="1">SUMIFS(Schedules[Team 2 Score],Schedules[Team 1 Name],B135)+SUMIFS(Schedules[Team 1 Score],Schedules[Team 2 Name],B135)</f>
        <v>9605</v>
      </c>
      <c r="J135" s="115">
        <f ca="1">IFERROR(AdvancedMD[[#This Row],[Conceded Score]]/AdvancedMD[[#This Row],[Total Score]],0%)</f>
        <v>1.050300710770913</v>
      </c>
    </row>
    <row r="136" spans="1:10" x14ac:dyDescent="0.25">
      <c r="A136" s="102" t="str">
        <f>'Registrations'!A116</f>
        <v>Adv Men Doubles</v>
      </c>
      <c r="B136" s="108">
        <f>'Registrations'!E116</f>
        <v>0</v>
      </c>
      <c r="C136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6" s="102">
        <f ca="1">AdvancedMD[[#This Row],[Wins]]*3</f>
        <v>987</v>
      </c>
      <c r="E136" s="102">
        <f ca="1">COUNTIF(Schedules[Team 1 Name], B136) + COUNTIF(Schedules[Team 2 Name], B136)</f>
        <v>756</v>
      </c>
      <c r="F136" s="102">
        <f ca="1">COUNTIFS(Schedules[Team 1 Name], B136, Schedules[Team 1 Outcome], "Win") + COUNTIFS(Schedules[Team 2 Name], B136, Schedules[Team 2 Outcome], "Win")</f>
        <v>329</v>
      </c>
      <c r="G136" s="115">
        <f>IFERROR(OpenSingles[[#This Row],[Wins]]/OpenSingles[[#This Row],[Matches Played]],0%)</f>
        <v>0</v>
      </c>
      <c r="H136" s="102">
        <f ca="1">SUMIFS(Schedules[Team 1 Score],Schedules[Team 1 Name],B136)+SUMIFS(Schedules[Team 2 Score],Schedules[Team 2 Name],B136)</f>
        <v>9145</v>
      </c>
      <c r="I136" s="102">
        <f ca="1">SUMIFS(Schedules[Team 2 Score],Schedules[Team 1 Name],B136)+SUMIFS(Schedules[Team 1 Score],Schedules[Team 2 Name],B136)</f>
        <v>9605</v>
      </c>
      <c r="J136" s="115">
        <f ca="1">IFERROR(AdvancedMD[[#This Row],[Conceded Score]]/AdvancedMD[[#This Row],[Total Score]],0%)</f>
        <v>1.050300710770913</v>
      </c>
    </row>
    <row r="137" spans="1:10" x14ac:dyDescent="0.25">
      <c r="A137" s="102" t="str">
        <f>'Registrations'!A117</f>
        <v>Adv Men Doubles</v>
      </c>
      <c r="B137" s="108">
        <f>'Registrations'!E117</f>
        <v>0</v>
      </c>
      <c r="C137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7" s="102">
        <f ca="1">AdvancedMD[[#This Row],[Wins]]*3</f>
        <v>987</v>
      </c>
      <c r="E137" s="102">
        <f ca="1">COUNTIF(Schedules[Team 1 Name], B137) + COUNTIF(Schedules[Team 2 Name], B137)</f>
        <v>756</v>
      </c>
      <c r="F137" s="102">
        <f ca="1">COUNTIFS(Schedules[Team 1 Name], B137, Schedules[Team 1 Outcome], "Win") + COUNTIFS(Schedules[Team 2 Name], B137, Schedules[Team 2 Outcome], "Win")</f>
        <v>329</v>
      </c>
      <c r="G137" s="115">
        <f>IFERROR(OpenSingles[[#This Row],[Wins]]/OpenSingles[[#This Row],[Matches Played]],0%)</f>
        <v>0</v>
      </c>
      <c r="H137" s="102">
        <f ca="1">SUMIFS(Schedules[Team 1 Score],Schedules[Team 1 Name],B137)+SUMIFS(Schedules[Team 2 Score],Schedules[Team 2 Name],B137)</f>
        <v>9145</v>
      </c>
      <c r="I137" s="102">
        <f ca="1">SUMIFS(Schedules[Team 2 Score],Schedules[Team 1 Name],B137)+SUMIFS(Schedules[Team 1 Score],Schedules[Team 2 Name],B137)</f>
        <v>9605</v>
      </c>
      <c r="J137" s="115">
        <f ca="1">IFERROR(AdvancedMD[[#This Row],[Conceded Score]]/AdvancedMD[[#This Row],[Total Score]],0%)</f>
        <v>1.050300710770913</v>
      </c>
    </row>
    <row r="138" spans="1:10" x14ac:dyDescent="0.25">
      <c r="A138" s="102" t="str">
        <f>'Registrations'!A118</f>
        <v>Adv Men Doubles</v>
      </c>
      <c r="B138" s="108">
        <f>'Registrations'!E118</f>
        <v>0</v>
      </c>
      <c r="C138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8" s="102">
        <f ca="1">AdvancedMD[[#This Row],[Wins]]*3</f>
        <v>987</v>
      </c>
      <c r="E138" s="102">
        <f ca="1">COUNTIF(Schedules[Team 1 Name], B138) + COUNTIF(Schedules[Team 2 Name], B138)</f>
        <v>756</v>
      </c>
      <c r="F138" s="102">
        <f ca="1">COUNTIFS(Schedules[Team 1 Name], B138, Schedules[Team 1 Outcome], "Win") + COUNTIFS(Schedules[Team 2 Name], B138, Schedules[Team 2 Outcome], "Win")</f>
        <v>329</v>
      </c>
      <c r="G138" s="115">
        <f>IFERROR(OpenSingles[[#This Row],[Wins]]/OpenSingles[[#This Row],[Matches Played]],0%)</f>
        <v>0</v>
      </c>
      <c r="H138" s="102">
        <f ca="1">SUMIFS(Schedules[Team 1 Score],Schedules[Team 1 Name],B138)+SUMIFS(Schedules[Team 2 Score],Schedules[Team 2 Name],B138)</f>
        <v>9145</v>
      </c>
      <c r="I138" s="102">
        <f ca="1">SUMIFS(Schedules[Team 2 Score],Schedules[Team 1 Name],B138)+SUMIFS(Schedules[Team 1 Score],Schedules[Team 2 Name],B138)</f>
        <v>9605</v>
      </c>
      <c r="J138" s="115">
        <f ca="1">IFERROR(AdvancedMD[[#This Row],[Conceded Score]]/AdvancedMD[[#This Row],[Total Score]],0%)</f>
        <v>1.050300710770913</v>
      </c>
    </row>
    <row r="139" spans="1:10" x14ac:dyDescent="0.25">
      <c r="A139" s="102" t="str">
        <f>'Registrations'!A119</f>
        <v>Adv Men Doubles</v>
      </c>
      <c r="B139" s="108">
        <f>'Registrations'!E119</f>
        <v>0</v>
      </c>
      <c r="C139" s="102">
        <f ca="1">_xlfn.RANK.EQ(AdvancedMD[[#This Row],[Points]],AdvancedMD[Points],0)+COUNTIFS(AdvancedMD[Points],AdvancedMD[[#This Row],[Points]],AdvancedMD[Concession ratio %],"&lt;"&amp;AdvancedMD[[#This Row],[Concession ratio %]])+COUNTIFS(AdvancedMD[Points],AdvancedMD[[#This Row],[Points]],AdvancedMD[Concession ratio %],AdvancedMD[[#This Row],[Concession ratio %]],AdvancedMD[Teams],"&lt;"&amp;AdvancedMD[[#This Row],[Teams]])</f>
        <v>1</v>
      </c>
      <c r="D139" s="102">
        <f ca="1">AdvancedMD[[#This Row],[Wins]]*3</f>
        <v>987</v>
      </c>
      <c r="E139" s="102">
        <f ca="1">COUNTIF(Schedules[Team 1 Name], B139) + COUNTIF(Schedules[Team 2 Name], B139)</f>
        <v>756</v>
      </c>
      <c r="F139" s="102">
        <f ca="1">COUNTIFS(Schedules[Team 1 Name], B139, Schedules[Team 1 Outcome], "Win") + COUNTIFS(Schedules[Team 2 Name], B139, Schedules[Team 2 Outcome], "Win")</f>
        <v>329</v>
      </c>
      <c r="G139" s="115">
        <f>IFERROR(OpenSingles[[#This Row],[Wins]]/OpenSingles[[#This Row],[Matches Played]],0%)</f>
        <v>0</v>
      </c>
      <c r="H139" s="102">
        <f ca="1">SUMIFS(Schedules[Team 1 Score],Schedules[Team 1 Name],B139)+SUMIFS(Schedules[Team 2 Score],Schedules[Team 2 Name],B139)</f>
        <v>9145</v>
      </c>
      <c r="I139" s="102">
        <f ca="1">SUMIFS(Schedules[Team 2 Score],Schedules[Team 1 Name],B139)+SUMIFS(Schedules[Team 1 Score],Schedules[Team 2 Name],B139)</f>
        <v>9605</v>
      </c>
      <c r="J139" s="115">
        <f ca="1">IFERROR(AdvancedMD[[#This Row],[Conceded Score]]/AdvancedMD[[#This Row],[Total Score]],0%)</f>
        <v>1.050300710770913</v>
      </c>
    </row>
    <row r="140" spans="1:10" x14ac:dyDescent="0.25">
      <c r="B140" s="108"/>
      <c r="G140" s="115"/>
      <c r="J140" s="115"/>
    </row>
    <row r="141" spans="1:10" ht="11" thickBot="1" x14ac:dyDescent="0.3">
      <c r="B141" s="108"/>
      <c r="G141" s="115"/>
      <c r="J141" s="115"/>
    </row>
    <row r="142" spans="1:10" x14ac:dyDescent="0.25">
      <c r="A142" s="122" t="s">
        <v>496</v>
      </c>
      <c r="B142" s="123"/>
      <c r="C142" s="123"/>
      <c r="D142" s="123"/>
      <c r="E142" s="123"/>
      <c r="F142" s="123"/>
      <c r="G142" s="123"/>
      <c r="H142" s="123"/>
      <c r="I142" s="123"/>
      <c r="J142" s="124"/>
    </row>
    <row r="143" spans="1:10" x14ac:dyDescent="0.25">
      <c r="A143" s="125"/>
      <c r="B143" s="126"/>
      <c r="C143" s="126"/>
      <c r="D143" s="126"/>
      <c r="E143" s="126"/>
      <c r="F143" s="126"/>
      <c r="G143" s="126"/>
      <c r="H143" s="126"/>
      <c r="I143" s="126"/>
      <c r="J143" s="127"/>
    </row>
    <row r="144" spans="1:10" ht="11" thickBot="1" x14ac:dyDescent="0.3">
      <c r="A144" s="116" t="s">
        <v>10</v>
      </c>
      <c r="B144" s="116" t="s">
        <v>70</v>
      </c>
      <c r="C144" s="116" t="s">
        <v>484</v>
      </c>
      <c r="D144" s="116" t="s">
        <v>485</v>
      </c>
      <c r="E144" s="116" t="s">
        <v>486</v>
      </c>
      <c r="F144" s="116" t="s">
        <v>487</v>
      </c>
      <c r="G144" s="116" t="s">
        <v>488</v>
      </c>
      <c r="H144" s="116" t="s">
        <v>489</v>
      </c>
      <c r="I144" s="116" t="s">
        <v>490</v>
      </c>
      <c r="J144" s="107" t="s">
        <v>491</v>
      </c>
    </row>
    <row r="145" spans="1:10" ht="11" thickTop="1" x14ac:dyDescent="0.25">
      <c r="A145" s="102" t="str">
        <f>'Registrations'!A120</f>
        <v>45+ Split Doubles</v>
      </c>
      <c r="B145" s="108" t="str">
        <f>'Registrations'!E120</f>
        <v>Rajib Sengupta / Antriksh Gala</v>
      </c>
      <c r="C145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23</v>
      </c>
      <c r="D145" s="102">
        <f ca="1">SPLITDOUBLES45[[#This Row],[Wins]]*3</f>
        <v>3</v>
      </c>
      <c r="E145" s="102">
        <f ca="1">COUNTIF(Schedules[Team 1 Name], B145) + COUNTIF(Schedules[Team 2 Name], B145)</f>
        <v>1</v>
      </c>
      <c r="F145" s="102">
        <f ca="1">COUNTIFS(Schedules[Team 1 Name], B145, Schedules[Team 1 Outcome], "Win") + COUNTIFS(Schedules[Team 2 Name], B145, Schedules[Team 2 Outcome], "Win")</f>
        <v>1</v>
      </c>
      <c r="G145" s="115">
        <f>IFERROR(OpenSingles[[#This Row],[Wins]]/OpenSingles[[#This Row],[Matches Played]],0%)</f>
        <v>0</v>
      </c>
      <c r="H145" s="102">
        <f ca="1">SUMIFS(Schedules[Team 1 Score],Schedules[Team 1 Name],B145)+SUMIFS(Schedules[Team 2 Score],Schedules[Team 2 Name],B145)</f>
        <v>15</v>
      </c>
      <c r="I145" s="102">
        <f ca="1">SUMIFS(Schedules[Team 2 Score],Schedules[Team 1 Name],B145)+SUMIFS(Schedules[Team 1 Score],Schedules[Team 2 Name],B145)</f>
        <v>10</v>
      </c>
      <c r="J145" s="115">
        <f ca="1">IFERROR(SPLITDOUBLES45[[#This Row],[Conceded Score]]/SPLITDOUBLES45[[#This Row],[Total Score]],0%)</f>
        <v>0.66666666666666663</v>
      </c>
    </row>
    <row r="146" spans="1:10" x14ac:dyDescent="0.25">
      <c r="A146" s="102" t="str">
        <f>'Registrations'!A121</f>
        <v>45+ Split Doubles</v>
      </c>
      <c r="B146" s="108" t="str">
        <f>'Registrations'!E121</f>
        <v>Pratik Bhagat / Godfrey Kattancherry</v>
      </c>
      <c r="C146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24</v>
      </c>
      <c r="D146" s="102">
        <f ca="1">SPLITDOUBLES45[[#This Row],[Wins]]*3</f>
        <v>0</v>
      </c>
      <c r="E146" s="102">
        <f ca="1">COUNTIF(Schedules[Team 1 Name], B146) + COUNTIF(Schedules[Team 2 Name], B146)</f>
        <v>1</v>
      </c>
      <c r="F146" s="102">
        <f ca="1">COUNTIFS(Schedules[Team 1 Name], B146, Schedules[Team 1 Outcome], "Win") + COUNTIFS(Schedules[Team 2 Name], B146, Schedules[Team 2 Outcome], "Win")</f>
        <v>0</v>
      </c>
      <c r="G146" s="115">
        <f>IFERROR(OpenSingles[[#This Row],[Wins]]/OpenSingles[[#This Row],[Matches Played]],0%)</f>
        <v>0</v>
      </c>
      <c r="H146" s="102">
        <f ca="1">SUMIFS(Schedules[Team 1 Score],Schedules[Team 1 Name],B146)+SUMIFS(Schedules[Team 2 Score],Schedules[Team 2 Name],B146)</f>
        <v>10</v>
      </c>
      <c r="I146" s="102">
        <f ca="1">SUMIFS(Schedules[Team 2 Score],Schedules[Team 1 Name],B146)+SUMIFS(Schedules[Team 1 Score],Schedules[Team 2 Name],B146)</f>
        <v>15</v>
      </c>
      <c r="J146" s="115">
        <f ca="1">IFERROR(SPLITDOUBLES45[[#This Row],[Conceded Score]]/SPLITDOUBLES45[[#This Row],[Total Score]],0%)</f>
        <v>1.5</v>
      </c>
    </row>
    <row r="147" spans="1:10" x14ac:dyDescent="0.25">
      <c r="A147" s="102" t="str">
        <f>'Registrations'!A122</f>
        <v>45+ Split Doubles</v>
      </c>
      <c r="B147" s="108">
        <f>'Registrations'!E122</f>
        <v>0</v>
      </c>
      <c r="C147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47" s="102">
        <f ca="1">SPLITDOUBLES45[[#This Row],[Wins]]*3</f>
        <v>987</v>
      </c>
      <c r="E147" s="102">
        <f ca="1">COUNTIF(Schedules[Team 1 Name], B147) + COUNTIF(Schedules[Team 2 Name], B147)</f>
        <v>756</v>
      </c>
      <c r="F147" s="102">
        <f ca="1">COUNTIFS(Schedules[Team 1 Name], B147, Schedules[Team 1 Outcome], "Win") + COUNTIFS(Schedules[Team 2 Name], B147, Schedules[Team 2 Outcome], "Win")</f>
        <v>329</v>
      </c>
      <c r="G147" s="115">
        <f>IFERROR(OpenSingles[[#This Row],[Wins]]/OpenSingles[[#This Row],[Matches Played]],0%)</f>
        <v>0</v>
      </c>
      <c r="H147" s="102">
        <f ca="1">SUMIFS(Schedules[Team 1 Score],Schedules[Team 1 Name],B147)+SUMIFS(Schedules[Team 2 Score],Schedules[Team 2 Name],B147)</f>
        <v>9145</v>
      </c>
      <c r="I147" s="102">
        <f ca="1">SUMIFS(Schedules[Team 2 Score],Schedules[Team 1 Name],B147)+SUMIFS(Schedules[Team 1 Score],Schedules[Team 2 Name],B147)</f>
        <v>9605</v>
      </c>
      <c r="J147" s="115">
        <f ca="1">IFERROR(SPLITDOUBLES45[[#This Row],[Conceded Score]]/SPLITDOUBLES45[[#This Row],[Total Score]],0%)</f>
        <v>1.050300710770913</v>
      </c>
    </row>
    <row r="148" spans="1:10" x14ac:dyDescent="0.25">
      <c r="A148" s="102" t="str">
        <f>'Registrations'!A123</f>
        <v>45+ Split Doubles</v>
      </c>
      <c r="B148" s="108">
        <f>'Registrations'!E123</f>
        <v>0</v>
      </c>
      <c r="C148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48" s="102">
        <f ca="1">SPLITDOUBLES45[[#This Row],[Wins]]*3</f>
        <v>987</v>
      </c>
      <c r="E148" s="102">
        <f ca="1">COUNTIF(Schedules[Team 1 Name], B148) + COUNTIF(Schedules[Team 2 Name], B148)</f>
        <v>756</v>
      </c>
      <c r="F148" s="102">
        <f ca="1">COUNTIFS(Schedules[Team 1 Name], B148, Schedules[Team 1 Outcome], "Win") + COUNTIFS(Schedules[Team 2 Name], B148, Schedules[Team 2 Outcome], "Win")</f>
        <v>329</v>
      </c>
      <c r="G148" s="115">
        <f>IFERROR(OpenSingles[[#This Row],[Wins]]/OpenSingles[[#This Row],[Matches Played]],0%)</f>
        <v>0</v>
      </c>
      <c r="H148" s="102">
        <f ca="1">SUMIFS(Schedules[Team 1 Score],Schedules[Team 1 Name],B148)+SUMIFS(Schedules[Team 2 Score],Schedules[Team 2 Name],B148)</f>
        <v>9145</v>
      </c>
      <c r="I148" s="102">
        <f ca="1">SUMIFS(Schedules[Team 2 Score],Schedules[Team 1 Name],B148)+SUMIFS(Schedules[Team 1 Score],Schedules[Team 2 Name],B148)</f>
        <v>9605</v>
      </c>
      <c r="J148" s="115">
        <f ca="1">IFERROR(SPLITDOUBLES45[[#This Row],[Conceded Score]]/SPLITDOUBLES45[[#This Row],[Total Score]],0%)</f>
        <v>1.050300710770913</v>
      </c>
    </row>
    <row r="149" spans="1:10" x14ac:dyDescent="0.25">
      <c r="A149" s="102" t="str">
        <f>'Registrations'!A124</f>
        <v>45+ Split Doubles</v>
      </c>
      <c r="B149" s="108">
        <f>'Registrations'!E124</f>
        <v>0</v>
      </c>
      <c r="C149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49" s="102">
        <f ca="1">SPLITDOUBLES45[[#This Row],[Wins]]*3</f>
        <v>987</v>
      </c>
      <c r="E149" s="102">
        <f ca="1">COUNTIF(Schedules[Team 1 Name], B149) + COUNTIF(Schedules[Team 2 Name], B149)</f>
        <v>756</v>
      </c>
      <c r="F149" s="102">
        <f ca="1">COUNTIFS(Schedules[Team 1 Name], B149, Schedules[Team 1 Outcome], "Win") + COUNTIFS(Schedules[Team 2 Name], B149, Schedules[Team 2 Outcome], "Win")</f>
        <v>329</v>
      </c>
      <c r="G149" s="115">
        <f>IFERROR(OpenSingles[[#This Row],[Wins]]/OpenSingles[[#This Row],[Matches Played]],0%)</f>
        <v>0</v>
      </c>
      <c r="H149" s="102">
        <f ca="1">SUMIFS(Schedules[Team 1 Score],Schedules[Team 1 Name],B149)+SUMIFS(Schedules[Team 2 Score],Schedules[Team 2 Name],B149)</f>
        <v>9145</v>
      </c>
      <c r="I149" s="102">
        <f ca="1">SUMIFS(Schedules[Team 2 Score],Schedules[Team 1 Name],B149)+SUMIFS(Schedules[Team 1 Score],Schedules[Team 2 Name],B149)</f>
        <v>9605</v>
      </c>
      <c r="J149" s="115">
        <f ca="1">IFERROR(SPLITDOUBLES45[[#This Row],[Conceded Score]]/SPLITDOUBLES45[[#This Row],[Total Score]],0%)</f>
        <v>1.050300710770913</v>
      </c>
    </row>
    <row r="150" spans="1:10" x14ac:dyDescent="0.25">
      <c r="A150" s="102" t="str">
        <f>'Registrations'!A125</f>
        <v>45+ Split Doubles</v>
      </c>
      <c r="B150" s="108">
        <f>'Registrations'!E125</f>
        <v>0</v>
      </c>
      <c r="C150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0" s="102">
        <f ca="1">SPLITDOUBLES45[[#This Row],[Wins]]*3</f>
        <v>987</v>
      </c>
      <c r="E150" s="102">
        <f ca="1">COUNTIF(Schedules[Team 1 Name], B150) + COUNTIF(Schedules[Team 2 Name], B150)</f>
        <v>756</v>
      </c>
      <c r="F150" s="102">
        <f ca="1">COUNTIFS(Schedules[Team 1 Name], B150, Schedules[Team 1 Outcome], "Win") + COUNTIFS(Schedules[Team 2 Name], B150, Schedules[Team 2 Outcome], "Win")</f>
        <v>329</v>
      </c>
      <c r="G150" s="115">
        <f>IFERROR(OpenSingles[[#This Row],[Wins]]/OpenSingles[[#This Row],[Matches Played]],0%)</f>
        <v>0</v>
      </c>
      <c r="H150" s="102">
        <f ca="1">SUMIFS(Schedules[Team 1 Score],Schedules[Team 1 Name],B150)+SUMIFS(Schedules[Team 2 Score],Schedules[Team 2 Name],B150)</f>
        <v>9145</v>
      </c>
      <c r="I150" s="102">
        <f ca="1">SUMIFS(Schedules[Team 2 Score],Schedules[Team 1 Name],B150)+SUMIFS(Schedules[Team 1 Score],Schedules[Team 2 Name],B150)</f>
        <v>9605</v>
      </c>
      <c r="J150" s="115">
        <f ca="1">IFERROR(SPLITDOUBLES45[[#This Row],[Conceded Score]]/SPLITDOUBLES45[[#This Row],[Total Score]],0%)</f>
        <v>1.050300710770913</v>
      </c>
    </row>
    <row r="151" spans="1:10" x14ac:dyDescent="0.25">
      <c r="A151" s="102" t="str">
        <f>'Registrations'!A126</f>
        <v>45+ Split Doubles</v>
      </c>
      <c r="B151" s="108">
        <f>'Registrations'!E126</f>
        <v>0</v>
      </c>
      <c r="C151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1" s="102">
        <f ca="1">SPLITDOUBLES45[[#This Row],[Wins]]*3</f>
        <v>987</v>
      </c>
      <c r="E151" s="102">
        <f ca="1">COUNTIF(Schedules[Team 1 Name], B151) + COUNTIF(Schedules[Team 2 Name], B151)</f>
        <v>756</v>
      </c>
      <c r="F151" s="102">
        <f ca="1">COUNTIFS(Schedules[Team 1 Name], B151, Schedules[Team 1 Outcome], "Win") + COUNTIFS(Schedules[Team 2 Name], B151, Schedules[Team 2 Outcome], "Win")</f>
        <v>329</v>
      </c>
      <c r="G151" s="115">
        <f>IFERROR(OpenSingles[[#This Row],[Wins]]/OpenSingles[[#This Row],[Matches Played]],0%)</f>
        <v>0</v>
      </c>
      <c r="H151" s="102">
        <f ca="1">SUMIFS(Schedules[Team 1 Score],Schedules[Team 1 Name],B151)+SUMIFS(Schedules[Team 2 Score],Schedules[Team 2 Name],B151)</f>
        <v>9145</v>
      </c>
      <c r="I151" s="102">
        <f ca="1">SUMIFS(Schedules[Team 2 Score],Schedules[Team 1 Name],B151)+SUMIFS(Schedules[Team 1 Score],Schedules[Team 2 Name],B151)</f>
        <v>9605</v>
      </c>
      <c r="J151" s="115">
        <f ca="1">IFERROR(SPLITDOUBLES45[[#This Row],[Conceded Score]]/SPLITDOUBLES45[[#This Row],[Total Score]],0%)</f>
        <v>1.050300710770913</v>
      </c>
    </row>
    <row r="152" spans="1:10" x14ac:dyDescent="0.25">
      <c r="A152" s="102" t="str">
        <f>'Registrations'!A127</f>
        <v>45+ Split Doubles</v>
      </c>
      <c r="B152" s="108">
        <f>'Registrations'!E127</f>
        <v>0</v>
      </c>
      <c r="C152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2" s="102">
        <f ca="1">SPLITDOUBLES45[[#This Row],[Wins]]*3</f>
        <v>987</v>
      </c>
      <c r="E152" s="102">
        <f ca="1">COUNTIF(Schedules[Team 1 Name], B152) + COUNTIF(Schedules[Team 2 Name], B152)</f>
        <v>756</v>
      </c>
      <c r="F152" s="102">
        <f ca="1">COUNTIFS(Schedules[Team 1 Name], B152, Schedules[Team 1 Outcome], "Win") + COUNTIFS(Schedules[Team 2 Name], B152, Schedules[Team 2 Outcome], "Win")</f>
        <v>329</v>
      </c>
      <c r="G152" s="115">
        <f>IFERROR(OpenSingles[[#This Row],[Wins]]/OpenSingles[[#This Row],[Matches Played]],0%)</f>
        <v>0</v>
      </c>
      <c r="H152" s="102">
        <f ca="1">SUMIFS(Schedules[Team 1 Score],Schedules[Team 1 Name],B152)+SUMIFS(Schedules[Team 2 Score],Schedules[Team 2 Name],B152)</f>
        <v>9145</v>
      </c>
      <c r="I152" s="102">
        <f ca="1">SUMIFS(Schedules[Team 2 Score],Schedules[Team 1 Name],B152)+SUMIFS(Schedules[Team 1 Score],Schedules[Team 2 Name],B152)</f>
        <v>9605</v>
      </c>
      <c r="J152" s="115">
        <f ca="1">IFERROR(SPLITDOUBLES45[[#This Row],[Conceded Score]]/SPLITDOUBLES45[[#This Row],[Total Score]],0%)</f>
        <v>1.050300710770913</v>
      </c>
    </row>
    <row r="153" spans="1:10" x14ac:dyDescent="0.25">
      <c r="A153" s="102" t="str">
        <f>'Registrations'!A128</f>
        <v>45+ Split Doubles</v>
      </c>
      <c r="B153" s="108">
        <f>'Registrations'!E128</f>
        <v>0</v>
      </c>
      <c r="C153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3" s="102">
        <f ca="1">SPLITDOUBLES45[[#This Row],[Wins]]*3</f>
        <v>987</v>
      </c>
      <c r="E153" s="102">
        <f ca="1">COUNTIF(Schedules[Team 1 Name], B153) + COUNTIF(Schedules[Team 2 Name], B153)</f>
        <v>756</v>
      </c>
      <c r="F153" s="102">
        <f ca="1">COUNTIFS(Schedules[Team 1 Name], B153, Schedules[Team 1 Outcome], "Win") + COUNTIFS(Schedules[Team 2 Name], B153, Schedules[Team 2 Outcome], "Win")</f>
        <v>329</v>
      </c>
      <c r="G153" s="115">
        <f>IFERROR(OpenSingles[[#This Row],[Wins]]/OpenSingles[[#This Row],[Matches Played]],0%)</f>
        <v>0</v>
      </c>
      <c r="H153" s="102">
        <f ca="1">SUMIFS(Schedules[Team 1 Score],Schedules[Team 1 Name],B153)+SUMIFS(Schedules[Team 2 Score],Schedules[Team 2 Name],B153)</f>
        <v>9145</v>
      </c>
      <c r="I153" s="102">
        <f ca="1">SUMIFS(Schedules[Team 2 Score],Schedules[Team 1 Name],B153)+SUMIFS(Schedules[Team 1 Score],Schedules[Team 2 Name],B153)</f>
        <v>9605</v>
      </c>
      <c r="J153" s="115">
        <f ca="1">IFERROR(SPLITDOUBLES45[[#This Row],[Conceded Score]]/SPLITDOUBLES45[[#This Row],[Total Score]],0%)</f>
        <v>1.050300710770913</v>
      </c>
    </row>
    <row r="154" spans="1:10" x14ac:dyDescent="0.25">
      <c r="A154" s="102" t="str">
        <f>'Registrations'!A129</f>
        <v>45+ Split Doubles</v>
      </c>
      <c r="B154" s="108">
        <f>'Registrations'!E129</f>
        <v>0</v>
      </c>
      <c r="C154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4" s="102">
        <f ca="1">SPLITDOUBLES45[[#This Row],[Wins]]*3</f>
        <v>987</v>
      </c>
      <c r="E154" s="102">
        <f ca="1">COUNTIF(Schedules[Team 1 Name], B154) + COUNTIF(Schedules[Team 2 Name], B154)</f>
        <v>756</v>
      </c>
      <c r="F154" s="102">
        <f ca="1">COUNTIFS(Schedules[Team 1 Name], B154, Schedules[Team 1 Outcome], "Win") + COUNTIFS(Schedules[Team 2 Name], B154, Schedules[Team 2 Outcome], "Win")</f>
        <v>329</v>
      </c>
      <c r="G154" s="115">
        <f>IFERROR(OpenSingles[[#This Row],[Wins]]/OpenSingles[[#This Row],[Matches Played]],0%)</f>
        <v>0</v>
      </c>
      <c r="H154" s="102">
        <f ca="1">SUMIFS(Schedules[Team 1 Score],Schedules[Team 1 Name],B154)+SUMIFS(Schedules[Team 2 Score],Schedules[Team 2 Name],B154)</f>
        <v>9145</v>
      </c>
      <c r="I154" s="102">
        <f ca="1">SUMIFS(Schedules[Team 2 Score],Schedules[Team 1 Name],B154)+SUMIFS(Schedules[Team 1 Score],Schedules[Team 2 Name],B154)</f>
        <v>9605</v>
      </c>
      <c r="J154" s="115">
        <f ca="1">IFERROR(SPLITDOUBLES45[[#This Row],[Conceded Score]]/SPLITDOUBLES45[[#This Row],[Total Score]],0%)</f>
        <v>1.050300710770913</v>
      </c>
    </row>
    <row r="155" spans="1:10" x14ac:dyDescent="0.25">
      <c r="A155" s="102" t="str">
        <f>'Registrations'!A130</f>
        <v>45+ Split Doubles</v>
      </c>
      <c r="B155" s="108">
        <f>'Registrations'!E130</f>
        <v>0</v>
      </c>
      <c r="C155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5" s="102">
        <f ca="1">SPLITDOUBLES45[[#This Row],[Wins]]*3</f>
        <v>987</v>
      </c>
      <c r="E155" s="102">
        <f ca="1">COUNTIF(Schedules[Team 1 Name], B155) + COUNTIF(Schedules[Team 2 Name], B155)</f>
        <v>756</v>
      </c>
      <c r="F155" s="102">
        <f ca="1">COUNTIFS(Schedules[Team 1 Name], B155, Schedules[Team 1 Outcome], "Win") + COUNTIFS(Schedules[Team 2 Name], B155, Schedules[Team 2 Outcome], "Win")</f>
        <v>329</v>
      </c>
      <c r="G155" s="115">
        <f>IFERROR(OpenSingles[[#This Row],[Wins]]/OpenSingles[[#This Row],[Matches Played]],0%)</f>
        <v>0</v>
      </c>
      <c r="H155" s="102">
        <f ca="1">SUMIFS(Schedules[Team 1 Score],Schedules[Team 1 Name],B155)+SUMIFS(Schedules[Team 2 Score],Schedules[Team 2 Name],B155)</f>
        <v>9145</v>
      </c>
      <c r="I155" s="102">
        <f ca="1">SUMIFS(Schedules[Team 2 Score],Schedules[Team 1 Name],B155)+SUMIFS(Schedules[Team 1 Score],Schedules[Team 2 Name],B155)</f>
        <v>9605</v>
      </c>
      <c r="J155" s="115">
        <f ca="1">IFERROR(SPLITDOUBLES45[[#This Row],[Conceded Score]]/SPLITDOUBLES45[[#This Row],[Total Score]],0%)</f>
        <v>1.050300710770913</v>
      </c>
    </row>
    <row r="156" spans="1:10" x14ac:dyDescent="0.25">
      <c r="A156" s="102" t="str">
        <f>'Registrations'!A131</f>
        <v>45+ Split Doubles</v>
      </c>
      <c r="B156" s="108">
        <f>'Registrations'!E131</f>
        <v>0</v>
      </c>
      <c r="C156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6" s="102">
        <f ca="1">SPLITDOUBLES45[[#This Row],[Wins]]*3</f>
        <v>987</v>
      </c>
      <c r="E156" s="102">
        <f ca="1">COUNTIF(Schedules[Team 1 Name], B156) + COUNTIF(Schedules[Team 2 Name], B156)</f>
        <v>756</v>
      </c>
      <c r="F156" s="102">
        <f ca="1">COUNTIFS(Schedules[Team 1 Name], B156, Schedules[Team 1 Outcome], "Win") + COUNTIFS(Schedules[Team 2 Name], B156, Schedules[Team 2 Outcome], "Win")</f>
        <v>329</v>
      </c>
      <c r="G156" s="115">
        <f>IFERROR(OpenSingles[[#This Row],[Wins]]/OpenSingles[[#This Row],[Matches Played]],0%)</f>
        <v>0</v>
      </c>
      <c r="H156" s="102">
        <f ca="1">SUMIFS(Schedules[Team 1 Score],Schedules[Team 1 Name],B156)+SUMIFS(Schedules[Team 2 Score],Schedules[Team 2 Name],B156)</f>
        <v>9145</v>
      </c>
      <c r="I156" s="102">
        <f ca="1">SUMIFS(Schedules[Team 2 Score],Schedules[Team 1 Name],B156)+SUMIFS(Schedules[Team 1 Score],Schedules[Team 2 Name],B156)</f>
        <v>9605</v>
      </c>
      <c r="J156" s="115">
        <f ca="1">IFERROR(SPLITDOUBLES45[[#This Row],[Conceded Score]]/SPLITDOUBLES45[[#This Row],[Total Score]],0%)</f>
        <v>1.050300710770913</v>
      </c>
    </row>
    <row r="157" spans="1:10" x14ac:dyDescent="0.25">
      <c r="A157" s="102" t="str">
        <f>'Registrations'!A132</f>
        <v>45+ Split Doubles</v>
      </c>
      <c r="B157" s="108">
        <f>'Registrations'!E132</f>
        <v>0</v>
      </c>
      <c r="C157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7" s="102">
        <f ca="1">SPLITDOUBLES45[[#This Row],[Wins]]*3</f>
        <v>987</v>
      </c>
      <c r="E157" s="102">
        <f ca="1">COUNTIF(Schedules[Team 1 Name], B157) + COUNTIF(Schedules[Team 2 Name], B157)</f>
        <v>756</v>
      </c>
      <c r="F157" s="102">
        <f ca="1">COUNTIFS(Schedules[Team 1 Name], B157, Schedules[Team 1 Outcome], "Win") + COUNTIFS(Schedules[Team 2 Name], B157, Schedules[Team 2 Outcome], "Win")</f>
        <v>329</v>
      </c>
      <c r="G157" s="115">
        <f>IFERROR(OpenSingles[[#This Row],[Wins]]/OpenSingles[[#This Row],[Matches Played]],0%)</f>
        <v>0</v>
      </c>
      <c r="H157" s="102">
        <f ca="1">SUMIFS(Schedules[Team 1 Score],Schedules[Team 1 Name],B157)+SUMIFS(Schedules[Team 2 Score],Schedules[Team 2 Name],B157)</f>
        <v>9145</v>
      </c>
      <c r="I157" s="102">
        <f ca="1">SUMIFS(Schedules[Team 2 Score],Schedules[Team 1 Name],B157)+SUMIFS(Schedules[Team 1 Score],Schedules[Team 2 Name],B157)</f>
        <v>9605</v>
      </c>
      <c r="J157" s="115">
        <f ca="1">IFERROR(SPLITDOUBLES45[[#This Row],[Conceded Score]]/SPLITDOUBLES45[[#This Row],[Total Score]],0%)</f>
        <v>1.050300710770913</v>
      </c>
    </row>
    <row r="158" spans="1:10" x14ac:dyDescent="0.25">
      <c r="A158" s="102" t="str">
        <f>'Registrations'!A133</f>
        <v>45+ Split Doubles</v>
      </c>
      <c r="B158" s="108">
        <f>'Registrations'!E133</f>
        <v>0</v>
      </c>
      <c r="C158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8" s="102">
        <f ca="1">SPLITDOUBLES45[[#This Row],[Wins]]*3</f>
        <v>987</v>
      </c>
      <c r="E158" s="102">
        <f ca="1">COUNTIF(Schedules[Team 1 Name], B158) + COUNTIF(Schedules[Team 2 Name], B158)</f>
        <v>756</v>
      </c>
      <c r="F158" s="102">
        <f ca="1">COUNTIFS(Schedules[Team 1 Name], B158, Schedules[Team 1 Outcome], "Win") + COUNTIFS(Schedules[Team 2 Name], B158, Schedules[Team 2 Outcome], "Win")</f>
        <v>329</v>
      </c>
      <c r="G158" s="115">
        <f>IFERROR(OpenSingles[[#This Row],[Wins]]/OpenSingles[[#This Row],[Matches Played]],0%)</f>
        <v>0</v>
      </c>
      <c r="H158" s="102">
        <f ca="1">SUMIFS(Schedules[Team 1 Score],Schedules[Team 1 Name],B158)+SUMIFS(Schedules[Team 2 Score],Schedules[Team 2 Name],B158)</f>
        <v>9145</v>
      </c>
      <c r="I158" s="102">
        <f ca="1">SUMIFS(Schedules[Team 2 Score],Schedules[Team 1 Name],B158)+SUMIFS(Schedules[Team 1 Score],Schedules[Team 2 Name],B158)</f>
        <v>9605</v>
      </c>
      <c r="J158" s="115">
        <f ca="1">IFERROR(SPLITDOUBLES45[[#This Row],[Conceded Score]]/SPLITDOUBLES45[[#This Row],[Total Score]],0%)</f>
        <v>1.050300710770913</v>
      </c>
    </row>
    <row r="159" spans="1:10" x14ac:dyDescent="0.25">
      <c r="A159" s="102" t="str">
        <f>'Registrations'!A134</f>
        <v>45+ Split Doubles</v>
      </c>
      <c r="B159" s="108">
        <f>'Registrations'!E134</f>
        <v>0</v>
      </c>
      <c r="C159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59" s="102">
        <f ca="1">SPLITDOUBLES45[[#This Row],[Wins]]*3</f>
        <v>987</v>
      </c>
      <c r="E159" s="102">
        <f ca="1">COUNTIF(Schedules[Team 1 Name], B159) + COUNTIF(Schedules[Team 2 Name], B159)</f>
        <v>756</v>
      </c>
      <c r="F159" s="102">
        <f ca="1">COUNTIFS(Schedules[Team 1 Name], B159, Schedules[Team 1 Outcome], "Win") + COUNTIFS(Schedules[Team 2 Name], B159, Schedules[Team 2 Outcome], "Win")</f>
        <v>329</v>
      </c>
      <c r="G159" s="115">
        <f>IFERROR(OpenSingles[[#This Row],[Wins]]/OpenSingles[[#This Row],[Matches Played]],0%)</f>
        <v>0</v>
      </c>
      <c r="H159" s="102">
        <f ca="1">SUMIFS(Schedules[Team 1 Score],Schedules[Team 1 Name],B159)+SUMIFS(Schedules[Team 2 Score],Schedules[Team 2 Name],B159)</f>
        <v>9145</v>
      </c>
      <c r="I159" s="102">
        <f ca="1">SUMIFS(Schedules[Team 2 Score],Schedules[Team 1 Name],B159)+SUMIFS(Schedules[Team 1 Score],Schedules[Team 2 Name],B159)</f>
        <v>9605</v>
      </c>
      <c r="J159" s="115">
        <f ca="1">IFERROR(SPLITDOUBLES45[[#This Row],[Conceded Score]]/SPLITDOUBLES45[[#This Row],[Total Score]],0%)</f>
        <v>1.050300710770913</v>
      </c>
    </row>
    <row r="160" spans="1:10" x14ac:dyDescent="0.25">
      <c r="A160" s="102" t="str">
        <f>'Registrations'!A135</f>
        <v>45+ Split Doubles</v>
      </c>
      <c r="B160" s="108">
        <f>'Registrations'!E135</f>
        <v>0</v>
      </c>
      <c r="C160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0" s="102">
        <f ca="1">SPLITDOUBLES45[[#This Row],[Wins]]*3</f>
        <v>987</v>
      </c>
      <c r="E160" s="102">
        <f ca="1">COUNTIF(Schedules[Team 1 Name], B160) + COUNTIF(Schedules[Team 2 Name], B160)</f>
        <v>756</v>
      </c>
      <c r="F160" s="102">
        <f ca="1">COUNTIFS(Schedules[Team 1 Name], B160, Schedules[Team 1 Outcome], "Win") + COUNTIFS(Schedules[Team 2 Name], B160, Schedules[Team 2 Outcome], "Win")</f>
        <v>329</v>
      </c>
      <c r="G160" s="115">
        <f>IFERROR(OpenSingles[[#This Row],[Wins]]/OpenSingles[[#This Row],[Matches Played]],0%)</f>
        <v>0</v>
      </c>
      <c r="H160" s="102">
        <f ca="1">SUMIFS(Schedules[Team 1 Score],Schedules[Team 1 Name],B160)+SUMIFS(Schedules[Team 2 Score],Schedules[Team 2 Name],B160)</f>
        <v>9145</v>
      </c>
      <c r="I160" s="102">
        <f ca="1">SUMIFS(Schedules[Team 2 Score],Schedules[Team 1 Name],B160)+SUMIFS(Schedules[Team 1 Score],Schedules[Team 2 Name],B160)</f>
        <v>9605</v>
      </c>
      <c r="J160" s="115">
        <f ca="1">IFERROR(SPLITDOUBLES45[[#This Row],[Conceded Score]]/SPLITDOUBLES45[[#This Row],[Total Score]],0%)</f>
        <v>1.050300710770913</v>
      </c>
    </row>
    <row r="161" spans="1:10" x14ac:dyDescent="0.25">
      <c r="A161" s="102" t="str">
        <f>'Registrations'!A136</f>
        <v>45+ Split Doubles</v>
      </c>
      <c r="B161" s="108">
        <f>'Registrations'!E136</f>
        <v>0</v>
      </c>
      <c r="C161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1" s="102">
        <f ca="1">SPLITDOUBLES45[[#This Row],[Wins]]*3</f>
        <v>987</v>
      </c>
      <c r="E161" s="102">
        <f ca="1">COUNTIF(Schedules[Team 1 Name], B161) + COUNTIF(Schedules[Team 2 Name], B161)</f>
        <v>756</v>
      </c>
      <c r="F161" s="102">
        <f ca="1">COUNTIFS(Schedules[Team 1 Name], B161, Schedules[Team 1 Outcome], "Win") + COUNTIFS(Schedules[Team 2 Name], B161, Schedules[Team 2 Outcome], "Win")</f>
        <v>329</v>
      </c>
      <c r="G161" s="115">
        <f>IFERROR(OpenSingles[[#This Row],[Wins]]/OpenSingles[[#This Row],[Matches Played]],0%)</f>
        <v>0</v>
      </c>
      <c r="H161" s="102">
        <f ca="1">SUMIFS(Schedules[Team 1 Score],Schedules[Team 1 Name],B161)+SUMIFS(Schedules[Team 2 Score],Schedules[Team 2 Name],B161)</f>
        <v>9145</v>
      </c>
      <c r="I161" s="102">
        <f ca="1">SUMIFS(Schedules[Team 2 Score],Schedules[Team 1 Name],B161)+SUMIFS(Schedules[Team 1 Score],Schedules[Team 2 Name],B161)</f>
        <v>9605</v>
      </c>
      <c r="J161" s="115">
        <f ca="1">IFERROR(SPLITDOUBLES45[[#This Row],[Conceded Score]]/SPLITDOUBLES45[[#This Row],[Total Score]],0%)</f>
        <v>1.050300710770913</v>
      </c>
    </row>
    <row r="162" spans="1:10" x14ac:dyDescent="0.25">
      <c r="A162" s="102" t="str">
        <f>'Registrations'!A137</f>
        <v>45+ Split Doubles</v>
      </c>
      <c r="B162" s="108">
        <f>'Registrations'!E137</f>
        <v>0</v>
      </c>
      <c r="C162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2" s="102">
        <f ca="1">SPLITDOUBLES45[[#This Row],[Wins]]*3</f>
        <v>987</v>
      </c>
      <c r="E162" s="102">
        <f ca="1">COUNTIF(Schedules[Team 1 Name], B162) + COUNTIF(Schedules[Team 2 Name], B162)</f>
        <v>756</v>
      </c>
      <c r="F162" s="102">
        <f ca="1">COUNTIFS(Schedules[Team 1 Name], B162, Schedules[Team 1 Outcome], "Win") + COUNTIFS(Schedules[Team 2 Name], B162, Schedules[Team 2 Outcome], "Win")</f>
        <v>329</v>
      </c>
      <c r="G162" s="115">
        <f>IFERROR(OpenSingles[[#This Row],[Wins]]/OpenSingles[[#This Row],[Matches Played]],0%)</f>
        <v>0</v>
      </c>
      <c r="H162" s="102">
        <f ca="1">SUMIFS(Schedules[Team 1 Score],Schedules[Team 1 Name],B162)+SUMIFS(Schedules[Team 2 Score],Schedules[Team 2 Name],B162)</f>
        <v>9145</v>
      </c>
      <c r="I162" s="102">
        <f ca="1">SUMIFS(Schedules[Team 2 Score],Schedules[Team 1 Name],B162)+SUMIFS(Schedules[Team 1 Score],Schedules[Team 2 Name],B162)</f>
        <v>9605</v>
      </c>
      <c r="J162" s="115">
        <f ca="1">IFERROR(SPLITDOUBLES45[[#This Row],[Conceded Score]]/SPLITDOUBLES45[[#This Row],[Total Score]],0%)</f>
        <v>1.050300710770913</v>
      </c>
    </row>
    <row r="163" spans="1:10" x14ac:dyDescent="0.25">
      <c r="A163" s="102" t="str">
        <f>'Registrations'!A138</f>
        <v>45+ Split Doubles</v>
      </c>
      <c r="B163" s="108">
        <f>'Registrations'!E138</f>
        <v>0</v>
      </c>
      <c r="C163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3" s="102">
        <f ca="1">SPLITDOUBLES45[[#This Row],[Wins]]*3</f>
        <v>987</v>
      </c>
      <c r="E163" s="102">
        <f ca="1">COUNTIF(Schedules[Team 1 Name], B163) + COUNTIF(Schedules[Team 2 Name], B163)</f>
        <v>756</v>
      </c>
      <c r="F163" s="102">
        <f ca="1">COUNTIFS(Schedules[Team 1 Name], B163, Schedules[Team 1 Outcome], "Win") + COUNTIFS(Schedules[Team 2 Name], B163, Schedules[Team 2 Outcome], "Win")</f>
        <v>329</v>
      </c>
      <c r="G163" s="115">
        <f>IFERROR(OpenSingles[[#This Row],[Wins]]/OpenSingles[[#This Row],[Matches Played]],0%)</f>
        <v>0</v>
      </c>
      <c r="H163" s="102">
        <f ca="1">SUMIFS(Schedules[Team 1 Score],Schedules[Team 1 Name],B163)+SUMIFS(Schedules[Team 2 Score],Schedules[Team 2 Name],B163)</f>
        <v>9145</v>
      </c>
      <c r="I163" s="102">
        <f ca="1">SUMIFS(Schedules[Team 2 Score],Schedules[Team 1 Name],B163)+SUMIFS(Schedules[Team 1 Score],Schedules[Team 2 Name],B163)</f>
        <v>9605</v>
      </c>
      <c r="J163" s="115">
        <f ca="1">IFERROR(SPLITDOUBLES45[[#This Row],[Conceded Score]]/SPLITDOUBLES45[[#This Row],[Total Score]],0%)</f>
        <v>1.050300710770913</v>
      </c>
    </row>
    <row r="164" spans="1:10" x14ac:dyDescent="0.25">
      <c r="A164" s="102" t="str">
        <f>'Registrations'!A139</f>
        <v>45+ Split Doubles</v>
      </c>
      <c r="B164" s="108">
        <f>'Registrations'!E139</f>
        <v>0</v>
      </c>
      <c r="C164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4" s="102">
        <f ca="1">SPLITDOUBLES45[[#This Row],[Wins]]*3</f>
        <v>987</v>
      </c>
      <c r="E164" s="102">
        <f ca="1">COUNTIF(Schedules[Team 1 Name], B164) + COUNTIF(Schedules[Team 2 Name], B164)</f>
        <v>756</v>
      </c>
      <c r="F164" s="102">
        <f ca="1">COUNTIFS(Schedules[Team 1 Name], B164, Schedules[Team 1 Outcome], "Win") + COUNTIFS(Schedules[Team 2 Name], B164, Schedules[Team 2 Outcome], "Win")</f>
        <v>329</v>
      </c>
      <c r="G164" s="115">
        <f>IFERROR(OpenSingles[[#This Row],[Wins]]/OpenSingles[[#This Row],[Matches Played]],0%)</f>
        <v>0</v>
      </c>
      <c r="H164" s="102">
        <f ca="1">SUMIFS(Schedules[Team 1 Score],Schedules[Team 1 Name],B164)+SUMIFS(Schedules[Team 2 Score],Schedules[Team 2 Name],B164)</f>
        <v>9145</v>
      </c>
      <c r="I164" s="102">
        <f ca="1">SUMIFS(Schedules[Team 2 Score],Schedules[Team 1 Name],B164)+SUMIFS(Schedules[Team 1 Score],Schedules[Team 2 Name],B164)</f>
        <v>9605</v>
      </c>
      <c r="J164" s="115">
        <f ca="1">IFERROR(SPLITDOUBLES45[[#This Row],[Conceded Score]]/SPLITDOUBLES45[[#This Row],[Total Score]],0%)</f>
        <v>1.050300710770913</v>
      </c>
    </row>
    <row r="165" spans="1:10" x14ac:dyDescent="0.25">
      <c r="A165" s="102" t="str">
        <f>'Registrations'!A140</f>
        <v>45+ Split Doubles</v>
      </c>
      <c r="B165" s="108">
        <f>'Registrations'!E140</f>
        <v>0</v>
      </c>
      <c r="C165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5" s="102">
        <f ca="1">SPLITDOUBLES45[[#This Row],[Wins]]*3</f>
        <v>987</v>
      </c>
      <c r="E165" s="102">
        <f ca="1">COUNTIF(Schedules[Team 1 Name], B165) + COUNTIF(Schedules[Team 2 Name], B165)</f>
        <v>756</v>
      </c>
      <c r="F165" s="102">
        <f ca="1">COUNTIFS(Schedules[Team 1 Name], B165, Schedules[Team 1 Outcome], "Win") + COUNTIFS(Schedules[Team 2 Name], B165, Schedules[Team 2 Outcome], "Win")</f>
        <v>329</v>
      </c>
      <c r="G165" s="115">
        <f>IFERROR(OpenSingles[[#This Row],[Wins]]/OpenSingles[[#This Row],[Matches Played]],0%)</f>
        <v>0</v>
      </c>
      <c r="H165" s="102">
        <f ca="1">SUMIFS(Schedules[Team 1 Score],Schedules[Team 1 Name],B165)+SUMIFS(Schedules[Team 2 Score],Schedules[Team 2 Name],B165)</f>
        <v>9145</v>
      </c>
      <c r="I165" s="102">
        <f ca="1">SUMIFS(Schedules[Team 2 Score],Schedules[Team 1 Name],B165)+SUMIFS(Schedules[Team 1 Score],Schedules[Team 2 Name],B165)</f>
        <v>9605</v>
      </c>
      <c r="J165" s="115">
        <f ca="1">IFERROR(SPLITDOUBLES45[[#This Row],[Conceded Score]]/SPLITDOUBLES45[[#This Row],[Total Score]],0%)</f>
        <v>1.050300710770913</v>
      </c>
    </row>
    <row r="166" spans="1:10" x14ac:dyDescent="0.25">
      <c r="A166" s="102" t="str">
        <f>'Registrations'!A141</f>
        <v>45+ Split Doubles</v>
      </c>
      <c r="B166" s="108">
        <f>'Registrations'!E141</f>
        <v>0</v>
      </c>
      <c r="C166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6" s="102">
        <f ca="1">SPLITDOUBLES45[[#This Row],[Wins]]*3</f>
        <v>987</v>
      </c>
      <c r="E166" s="102">
        <f ca="1">COUNTIF(Schedules[Team 1 Name], B166) + COUNTIF(Schedules[Team 2 Name], B166)</f>
        <v>756</v>
      </c>
      <c r="F166" s="102">
        <f ca="1">COUNTIFS(Schedules[Team 1 Name], B166, Schedules[Team 1 Outcome], "Win") + COUNTIFS(Schedules[Team 2 Name], B166, Schedules[Team 2 Outcome], "Win")</f>
        <v>329</v>
      </c>
      <c r="G166" s="115">
        <f>IFERROR(OpenSingles[[#This Row],[Wins]]/OpenSingles[[#This Row],[Matches Played]],0%)</f>
        <v>0</v>
      </c>
      <c r="H166" s="102">
        <f ca="1">SUMIFS(Schedules[Team 1 Score],Schedules[Team 1 Name],B166)+SUMIFS(Schedules[Team 2 Score],Schedules[Team 2 Name],B166)</f>
        <v>9145</v>
      </c>
      <c r="I166" s="102">
        <f ca="1">SUMIFS(Schedules[Team 2 Score],Schedules[Team 1 Name],B166)+SUMIFS(Schedules[Team 1 Score],Schedules[Team 2 Name],B166)</f>
        <v>9605</v>
      </c>
      <c r="J166" s="115">
        <f ca="1">IFERROR(SPLITDOUBLES45[[#This Row],[Conceded Score]]/SPLITDOUBLES45[[#This Row],[Total Score]],0%)</f>
        <v>1.050300710770913</v>
      </c>
    </row>
    <row r="167" spans="1:10" x14ac:dyDescent="0.25">
      <c r="A167" s="102" t="str">
        <f>'Registrations'!A142</f>
        <v>45+ Split Doubles</v>
      </c>
      <c r="B167" s="108">
        <f>'Registrations'!E142</f>
        <v>0</v>
      </c>
      <c r="C167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7" s="102">
        <f ca="1">SPLITDOUBLES45[[#This Row],[Wins]]*3</f>
        <v>987</v>
      </c>
      <c r="E167" s="102">
        <f ca="1">COUNTIF(Schedules[Team 1 Name], B167) + COUNTIF(Schedules[Team 2 Name], B167)</f>
        <v>756</v>
      </c>
      <c r="F167" s="102">
        <f ca="1">COUNTIFS(Schedules[Team 1 Name], B167, Schedules[Team 1 Outcome], "Win") + COUNTIFS(Schedules[Team 2 Name], B167, Schedules[Team 2 Outcome], "Win")</f>
        <v>329</v>
      </c>
      <c r="G167" s="115">
        <f>IFERROR(OpenSingles[[#This Row],[Wins]]/OpenSingles[[#This Row],[Matches Played]],0%)</f>
        <v>0</v>
      </c>
      <c r="H167" s="102">
        <f ca="1">SUMIFS(Schedules[Team 1 Score],Schedules[Team 1 Name],B167)+SUMIFS(Schedules[Team 2 Score],Schedules[Team 2 Name],B167)</f>
        <v>9145</v>
      </c>
      <c r="I167" s="102">
        <f ca="1">SUMIFS(Schedules[Team 2 Score],Schedules[Team 1 Name],B167)+SUMIFS(Schedules[Team 1 Score],Schedules[Team 2 Name],B167)</f>
        <v>9605</v>
      </c>
      <c r="J167" s="115">
        <f ca="1">IFERROR(SPLITDOUBLES45[[#This Row],[Conceded Score]]/SPLITDOUBLES45[[#This Row],[Total Score]],0%)</f>
        <v>1.050300710770913</v>
      </c>
    </row>
    <row r="168" spans="1:10" x14ac:dyDescent="0.25">
      <c r="A168" s="102" t="str">
        <f>'Registrations'!A143</f>
        <v>45+ Split Doubles</v>
      </c>
      <c r="B168" s="108">
        <f>'Registrations'!E143</f>
        <v>0</v>
      </c>
      <c r="C168" s="102">
        <f ca="1">_xlfn.RANK.EQ(SPLITDOUBLES45[[#This Row],[Points]],SPLITDOUBLES45[Points],0)+COUNTIFS(SPLITDOUBLES45[Points],SPLITDOUBLES45[[#This Row],[Points]],SPLITDOUBLES45[Concession ratio %],"&lt;"&amp;SPLITDOUBLES45[[#This Row],[Concession ratio %]])+COUNTIFS(SPLITDOUBLES45[Points],SPLITDOUBLES45[[#This Row],[Points]],SPLITDOUBLES45[Concession ratio %],SPLITDOUBLES45[[#This Row],[Concession ratio %]],SPLITDOUBLES45[Teams],"&lt;"&amp;SPLITDOUBLES45[[#This Row],[Teams]])</f>
        <v>1</v>
      </c>
      <c r="D168" s="102">
        <f ca="1">SPLITDOUBLES45[[#This Row],[Wins]]*3</f>
        <v>987</v>
      </c>
      <c r="E168" s="102">
        <f ca="1">COUNTIF(Schedules[Team 1 Name], B168) + COUNTIF(Schedules[Team 2 Name], B168)</f>
        <v>756</v>
      </c>
      <c r="F168" s="102">
        <f ca="1">COUNTIFS(Schedules[Team 1 Name], B168, Schedules[Team 1 Outcome], "Win") + COUNTIFS(Schedules[Team 2 Name], B168, Schedules[Team 2 Outcome], "Win")</f>
        <v>329</v>
      </c>
      <c r="G168" s="115">
        <f>IFERROR(OpenSingles[[#This Row],[Wins]]/OpenSingles[[#This Row],[Matches Played]],0%)</f>
        <v>0</v>
      </c>
      <c r="H168" s="102">
        <f ca="1">SUMIFS(Schedules[Team 1 Score],Schedules[Team 1 Name],B168)+SUMIFS(Schedules[Team 2 Score],Schedules[Team 2 Name],B168)</f>
        <v>9145</v>
      </c>
      <c r="I168" s="102">
        <f ca="1">SUMIFS(Schedules[Team 2 Score],Schedules[Team 1 Name],B168)+SUMIFS(Schedules[Team 1 Score],Schedules[Team 2 Name],B168)</f>
        <v>9605</v>
      </c>
      <c r="J168" s="115">
        <f ca="1">IFERROR(SPLITDOUBLES45[[#This Row],[Conceded Score]]/SPLITDOUBLES45[[#This Row],[Total Score]],0%)</f>
        <v>1.050300710770913</v>
      </c>
    </row>
    <row r="169" spans="1:10" x14ac:dyDescent="0.25">
      <c r="B169" s="108"/>
      <c r="G169" s="115"/>
      <c r="J169" s="115"/>
    </row>
    <row r="170" spans="1:10" ht="11" thickBot="1" x14ac:dyDescent="0.3">
      <c r="B170" s="108"/>
      <c r="G170" s="115"/>
      <c r="J170" s="115"/>
    </row>
    <row r="171" spans="1:10" x14ac:dyDescent="0.25">
      <c r="A171" s="122" t="s">
        <v>497</v>
      </c>
      <c r="B171" s="123"/>
      <c r="C171" s="123"/>
      <c r="D171" s="123"/>
      <c r="E171" s="123"/>
      <c r="F171" s="123"/>
      <c r="G171" s="123"/>
      <c r="H171" s="123"/>
      <c r="I171" s="123"/>
      <c r="J171" s="124"/>
    </row>
    <row r="172" spans="1:10" x14ac:dyDescent="0.25">
      <c r="A172" s="125"/>
      <c r="B172" s="126"/>
      <c r="C172" s="126"/>
      <c r="D172" s="126"/>
      <c r="E172" s="126"/>
      <c r="F172" s="126"/>
      <c r="G172" s="126"/>
      <c r="H172" s="126"/>
      <c r="I172" s="126"/>
      <c r="J172" s="127"/>
    </row>
    <row r="173" spans="1:10" ht="11" thickBot="1" x14ac:dyDescent="0.3">
      <c r="A173" s="116" t="s">
        <v>10</v>
      </c>
      <c r="B173" s="116" t="s">
        <v>70</v>
      </c>
      <c r="C173" s="116" t="s">
        <v>484</v>
      </c>
      <c r="D173" s="116" t="s">
        <v>485</v>
      </c>
      <c r="E173" s="116" t="s">
        <v>486</v>
      </c>
      <c r="F173" s="116" t="s">
        <v>487</v>
      </c>
      <c r="G173" s="116" t="s">
        <v>488</v>
      </c>
      <c r="H173" s="116" t="s">
        <v>489</v>
      </c>
      <c r="I173" s="116" t="s">
        <v>490</v>
      </c>
      <c r="J173" s="107" t="s">
        <v>491</v>
      </c>
    </row>
    <row r="174" spans="1:10" ht="11" thickTop="1" x14ac:dyDescent="0.25">
      <c r="A174" s="102" t="str">
        <f>'Registrations'!A144</f>
        <v>Beginner Men's Doubles</v>
      </c>
      <c r="B174" s="108" t="str">
        <f>'Registrations'!E144</f>
        <v>Sanjay Gatti / Prabhakar Ghadge</v>
      </c>
      <c r="C174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31</v>
      </c>
      <c r="D174" s="102">
        <f ca="1">BEGMD[[#This Row],[Wins]]*3</f>
        <v>0</v>
      </c>
      <c r="E174" s="102">
        <f ca="1">COUNTIF(Schedules[Team 1 Name], B174) + COUNTIF(Schedules[Team 2 Name], B174)</f>
        <v>0</v>
      </c>
      <c r="F174" s="102">
        <f ca="1">COUNTIFS(Schedules[Team 1 Name], B174, Schedules[Team 1 Outcome], "Win") + COUNTIFS(Schedules[Team 2 Name], B174, Schedules[Team 2 Outcome], "Win")</f>
        <v>0</v>
      </c>
      <c r="G174" s="115">
        <f>IFERROR(OpenSingles[[#This Row],[Wins]]/OpenSingles[[#This Row],[Matches Played]],0%)</f>
        <v>0</v>
      </c>
      <c r="H174" s="102">
        <f ca="1">SUMIFS(Schedules[Team 1 Score],Schedules[Team 1 Name],B174)+SUMIFS(Schedules[Team 2 Score],Schedules[Team 2 Name],B174)</f>
        <v>0</v>
      </c>
      <c r="I174" s="102">
        <f ca="1">SUMIFS(Schedules[Team 2 Score],Schedules[Team 1 Name],B174)+SUMIFS(Schedules[Team 1 Score],Schedules[Team 2 Name],B174)</f>
        <v>0</v>
      </c>
      <c r="J174" s="115">
        <f ca="1">IFERROR(BEGMD[[#This Row],[Conceded Score]]/BEGMD[[#This Row],[Total Score]],0%)</f>
        <v>0</v>
      </c>
    </row>
    <row r="175" spans="1:10" x14ac:dyDescent="0.25">
      <c r="A175" s="102" t="str">
        <f>'Registrations'!A145</f>
        <v>Beginner Men's Doubles</v>
      </c>
      <c r="B175" s="108" t="str">
        <f>'Registrations'!E145</f>
        <v>Yash Salvi / Chaitanya Hirlekar</v>
      </c>
      <c r="C175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32</v>
      </c>
      <c r="D175" s="102">
        <f ca="1">BEGMD[[#This Row],[Wins]]*3</f>
        <v>0</v>
      </c>
      <c r="E175" s="102">
        <f ca="1">COUNTIF(Schedules[Team 1 Name], B175) + COUNTIF(Schedules[Team 2 Name], B175)</f>
        <v>0</v>
      </c>
      <c r="F175" s="102">
        <f ca="1">COUNTIFS(Schedules[Team 1 Name], B175, Schedules[Team 1 Outcome], "Win") + COUNTIFS(Schedules[Team 2 Name], B175, Schedules[Team 2 Outcome], "Win")</f>
        <v>0</v>
      </c>
      <c r="G175" s="115">
        <f>IFERROR(OpenSingles[[#This Row],[Wins]]/OpenSingles[[#This Row],[Matches Played]],0%)</f>
        <v>0</v>
      </c>
      <c r="H175" s="102">
        <f ca="1">SUMIFS(Schedules[Team 1 Score],Schedules[Team 1 Name],B175)+SUMIFS(Schedules[Team 2 Score],Schedules[Team 2 Name],B175)</f>
        <v>0</v>
      </c>
      <c r="I175" s="102">
        <f ca="1">SUMIFS(Schedules[Team 2 Score],Schedules[Team 1 Name],B175)+SUMIFS(Schedules[Team 1 Score],Schedules[Team 2 Name],B175)</f>
        <v>0</v>
      </c>
      <c r="J175" s="115">
        <f ca="1">IFERROR(BEGMD[[#This Row],[Conceded Score]]/BEGMD[[#This Row],[Total Score]],0%)</f>
        <v>0</v>
      </c>
    </row>
    <row r="176" spans="1:10" x14ac:dyDescent="0.25">
      <c r="A176" s="102" t="str">
        <f>'Registrations'!A146</f>
        <v>Beginner Men's Doubles</v>
      </c>
      <c r="B176" s="108">
        <f>'Registrations'!E146</f>
        <v>0</v>
      </c>
      <c r="C176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76" s="102">
        <f ca="1">BEGMD[[#This Row],[Wins]]*3</f>
        <v>987</v>
      </c>
      <c r="E176" s="102">
        <f ca="1">COUNTIF(Schedules[Team 1 Name], B176) + COUNTIF(Schedules[Team 2 Name], B176)</f>
        <v>756</v>
      </c>
      <c r="F176" s="102">
        <f ca="1">COUNTIFS(Schedules[Team 1 Name], B176, Schedules[Team 1 Outcome], "Win") + COUNTIFS(Schedules[Team 2 Name], B176, Schedules[Team 2 Outcome], "Win")</f>
        <v>329</v>
      </c>
      <c r="G176" s="115">
        <f>IFERROR(OpenSingles[[#This Row],[Wins]]/OpenSingles[[#This Row],[Matches Played]],0%)</f>
        <v>0</v>
      </c>
      <c r="H176" s="102">
        <f ca="1">SUMIFS(Schedules[Team 1 Score],Schedules[Team 1 Name],B176)+SUMIFS(Schedules[Team 2 Score],Schedules[Team 2 Name],B176)</f>
        <v>9145</v>
      </c>
      <c r="I176" s="102">
        <f ca="1">SUMIFS(Schedules[Team 2 Score],Schedules[Team 1 Name],B176)+SUMIFS(Schedules[Team 1 Score],Schedules[Team 2 Name],B176)</f>
        <v>9605</v>
      </c>
      <c r="J176" s="115">
        <f ca="1">IFERROR(BEGMD[[#This Row],[Conceded Score]]/BEGMD[[#This Row],[Total Score]],0%)</f>
        <v>1.050300710770913</v>
      </c>
    </row>
    <row r="177" spans="1:10" x14ac:dyDescent="0.25">
      <c r="A177" s="102" t="str">
        <f>'Registrations'!A147</f>
        <v>Beginner Men's Doubles</v>
      </c>
      <c r="B177" s="108">
        <f>'Registrations'!E147</f>
        <v>0</v>
      </c>
      <c r="C177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77" s="102">
        <f ca="1">BEGMD[[#This Row],[Wins]]*3</f>
        <v>987</v>
      </c>
      <c r="E177" s="102">
        <f ca="1">COUNTIF(Schedules[Team 1 Name], B177) + COUNTIF(Schedules[Team 2 Name], B177)</f>
        <v>756</v>
      </c>
      <c r="F177" s="102">
        <f ca="1">COUNTIFS(Schedules[Team 1 Name], B177, Schedules[Team 1 Outcome], "Win") + COUNTIFS(Schedules[Team 2 Name], B177, Schedules[Team 2 Outcome], "Win")</f>
        <v>329</v>
      </c>
      <c r="G177" s="115">
        <f>IFERROR(OpenSingles[[#This Row],[Wins]]/OpenSingles[[#This Row],[Matches Played]],0%)</f>
        <v>0</v>
      </c>
      <c r="H177" s="102">
        <f ca="1">SUMIFS(Schedules[Team 1 Score],Schedules[Team 1 Name],B177)+SUMIFS(Schedules[Team 2 Score],Schedules[Team 2 Name],B177)</f>
        <v>9145</v>
      </c>
      <c r="I177" s="102">
        <f ca="1">SUMIFS(Schedules[Team 2 Score],Schedules[Team 1 Name],B177)+SUMIFS(Schedules[Team 1 Score],Schedules[Team 2 Name],B177)</f>
        <v>9605</v>
      </c>
      <c r="J177" s="115">
        <f ca="1">IFERROR(BEGMD[[#This Row],[Conceded Score]]/BEGMD[[#This Row],[Total Score]],0%)</f>
        <v>1.050300710770913</v>
      </c>
    </row>
    <row r="178" spans="1:10" x14ac:dyDescent="0.25">
      <c r="A178" s="102" t="str">
        <f>'Registrations'!A148</f>
        <v>Beginner Men's Doubles</v>
      </c>
      <c r="B178" s="108">
        <f>'Registrations'!E148</f>
        <v>0</v>
      </c>
      <c r="C178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78" s="102">
        <f ca="1">BEGMD[[#This Row],[Wins]]*3</f>
        <v>987</v>
      </c>
      <c r="E178" s="102">
        <f ca="1">COUNTIF(Schedules[Team 1 Name], B178) + COUNTIF(Schedules[Team 2 Name], B178)</f>
        <v>756</v>
      </c>
      <c r="F178" s="102">
        <f ca="1">COUNTIFS(Schedules[Team 1 Name], B178, Schedules[Team 1 Outcome], "Win") + COUNTIFS(Schedules[Team 2 Name], B178, Schedules[Team 2 Outcome], "Win")</f>
        <v>329</v>
      </c>
      <c r="G178" s="115">
        <f>IFERROR(OpenSingles[[#This Row],[Wins]]/OpenSingles[[#This Row],[Matches Played]],0%)</f>
        <v>0</v>
      </c>
      <c r="H178" s="102">
        <f ca="1">SUMIFS(Schedules[Team 1 Score],Schedules[Team 1 Name],B178)+SUMIFS(Schedules[Team 2 Score],Schedules[Team 2 Name],B178)</f>
        <v>9145</v>
      </c>
      <c r="I178" s="102">
        <f ca="1">SUMIFS(Schedules[Team 2 Score],Schedules[Team 1 Name],B178)+SUMIFS(Schedules[Team 1 Score],Schedules[Team 2 Name],B178)</f>
        <v>9605</v>
      </c>
      <c r="J178" s="115">
        <f ca="1">IFERROR(BEGMD[[#This Row],[Conceded Score]]/BEGMD[[#This Row],[Total Score]],0%)</f>
        <v>1.050300710770913</v>
      </c>
    </row>
    <row r="179" spans="1:10" x14ac:dyDescent="0.25">
      <c r="A179" s="102" t="str">
        <f>'Registrations'!A149</f>
        <v>Beginner Men's Doubles</v>
      </c>
      <c r="B179" s="108">
        <f>'Registrations'!E149</f>
        <v>0</v>
      </c>
      <c r="C179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79" s="102">
        <f ca="1">BEGMD[[#This Row],[Wins]]*3</f>
        <v>987</v>
      </c>
      <c r="E179" s="102">
        <f ca="1">COUNTIF(Schedules[Team 1 Name], B179) + COUNTIF(Schedules[Team 2 Name], B179)</f>
        <v>756</v>
      </c>
      <c r="F179" s="102">
        <f ca="1">COUNTIFS(Schedules[Team 1 Name], B179, Schedules[Team 1 Outcome], "Win") + COUNTIFS(Schedules[Team 2 Name], B179, Schedules[Team 2 Outcome], "Win")</f>
        <v>329</v>
      </c>
      <c r="G179" s="115">
        <f>IFERROR(OpenSingles[[#This Row],[Wins]]/OpenSingles[[#This Row],[Matches Played]],0%)</f>
        <v>0</v>
      </c>
      <c r="H179" s="102">
        <f ca="1">SUMIFS(Schedules[Team 1 Score],Schedules[Team 1 Name],B179)+SUMIFS(Schedules[Team 2 Score],Schedules[Team 2 Name],B179)</f>
        <v>9145</v>
      </c>
      <c r="I179" s="102">
        <f ca="1">SUMIFS(Schedules[Team 2 Score],Schedules[Team 1 Name],B179)+SUMIFS(Schedules[Team 1 Score],Schedules[Team 2 Name],B179)</f>
        <v>9605</v>
      </c>
      <c r="J179" s="115">
        <f ca="1">IFERROR(BEGMD[[#This Row],[Conceded Score]]/BEGMD[[#This Row],[Total Score]],0%)</f>
        <v>1.050300710770913</v>
      </c>
    </row>
    <row r="180" spans="1:10" x14ac:dyDescent="0.25">
      <c r="A180" s="102" t="str">
        <f>'Registrations'!A150</f>
        <v>Beginner Men's Doubles</v>
      </c>
      <c r="B180" s="108">
        <f>'Registrations'!E150</f>
        <v>0</v>
      </c>
      <c r="C180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0" s="102">
        <f ca="1">BEGMD[[#This Row],[Wins]]*3</f>
        <v>987</v>
      </c>
      <c r="E180" s="102">
        <f ca="1">COUNTIF(Schedules[Team 1 Name], B180) + COUNTIF(Schedules[Team 2 Name], B180)</f>
        <v>756</v>
      </c>
      <c r="F180" s="102">
        <f ca="1">COUNTIFS(Schedules[Team 1 Name], B180, Schedules[Team 1 Outcome], "Win") + COUNTIFS(Schedules[Team 2 Name], B180, Schedules[Team 2 Outcome], "Win")</f>
        <v>329</v>
      </c>
      <c r="G180" s="115">
        <f>IFERROR(OpenSingles[[#This Row],[Wins]]/OpenSingles[[#This Row],[Matches Played]],0%)</f>
        <v>0</v>
      </c>
      <c r="H180" s="102">
        <f ca="1">SUMIFS(Schedules[Team 1 Score],Schedules[Team 1 Name],B180)+SUMIFS(Schedules[Team 2 Score],Schedules[Team 2 Name],B180)</f>
        <v>9145</v>
      </c>
      <c r="I180" s="102">
        <f ca="1">SUMIFS(Schedules[Team 2 Score],Schedules[Team 1 Name],B180)+SUMIFS(Schedules[Team 1 Score],Schedules[Team 2 Name],B180)</f>
        <v>9605</v>
      </c>
      <c r="J180" s="115">
        <f ca="1">IFERROR(BEGMD[[#This Row],[Conceded Score]]/BEGMD[[#This Row],[Total Score]],0%)</f>
        <v>1.050300710770913</v>
      </c>
    </row>
    <row r="181" spans="1:10" x14ac:dyDescent="0.25">
      <c r="A181" s="102" t="str">
        <f>'Registrations'!A151</f>
        <v>Beginner Men's Doubles</v>
      </c>
      <c r="B181" s="108">
        <f>'Registrations'!E151</f>
        <v>0</v>
      </c>
      <c r="C181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1" s="102">
        <f ca="1">BEGMD[[#This Row],[Wins]]*3</f>
        <v>987</v>
      </c>
      <c r="E181" s="102">
        <f ca="1">COUNTIF(Schedules[Team 1 Name], B181) + COUNTIF(Schedules[Team 2 Name], B181)</f>
        <v>756</v>
      </c>
      <c r="F181" s="102">
        <f ca="1">COUNTIFS(Schedules[Team 1 Name], B181, Schedules[Team 1 Outcome], "Win") + COUNTIFS(Schedules[Team 2 Name], B181, Schedules[Team 2 Outcome], "Win")</f>
        <v>329</v>
      </c>
      <c r="G181" s="115">
        <f>IFERROR(OpenSingles[[#This Row],[Wins]]/OpenSingles[[#This Row],[Matches Played]],0%)</f>
        <v>0</v>
      </c>
      <c r="H181" s="102">
        <f ca="1">SUMIFS(Schedules[Team 1 Score],Schedules[Team 1 Name],B181)+SUMIFS(Schedules[Team 2 Score],Schedules[Team 2 Name],B181)</f>
        <v>9145</v>
      </c>
      <c r="I181" s="102">
        <f ca="1">SUMIFS(Schedules[Team 2 Score],Schedules[Team 1 Name],B181)+SUMIFS(Schedules[Team 1 Score],Schedules[Team 2 Name],B181)</f>
        <v>9605</v>
      </c>
      <c r="J181" s="115">
        <f ca="1">IFERROR(BEGMD[[#This Row],[Conceded Score]]/BEGMD[[#This Row],[Total Score]],0%)</f>
        <v>1.050300710770913</v>
      </c>
    </row>
    <row r="182" spans="1:10" x14ac:dyDescent="0.25">
      <c r="A182" s="102" t="str">
        <f>'Registrations'!A152</f>
        <v>Beginner Men's Doubles</v>
      </c>
      <c r="B182" s="108">
        <f>'Registrations'!E152</f>
        <v>0</v>
      </c>
      <c r="C182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2" s="102">
        <f ca="1">BEGMD[[#This Row],[Wins]]*3</f>
        <v>987</v>
      </c>
      <c r="E182" s="102">
        <f ca="1">COUNTIF(Schedules[Team 1 Name], B182) + COUNTIF(Schedules[Team 2 Name], B182)</f>
        <v>756</v>
      </c>
      <c r="F182" s="102">
        <f ca="1">COUNTIFS(Schedules[Team 1 Name], B182, Schedules[Team 1 Outcome], "Win") + COUNTIFS(Schedules[Team 2 Name], B182, Schedules[Team 2 Outcome], "Win")</f>
        <v>329</v>
      </c>
      <c r="G182" s="115">
        <f>IFERROR(OpenSingles[[#This Row],[Wins]]/OpenSingles[[#This Row],[Matches Played]],0%)</f>
        <v>0</v>
      </c>
      <c r="H182" s="102">
        <f ca="1">SUMIFS(Schedules[Team 1 Score],Schedules[Team 1 Name],B182)+SUMIFS(Schedules[Team 2 Score],Schedules[Team 2 Name],B182)</f>
        <v>9145</v>
      </c>
      <c r="I182" s="102">
        <f ca="1">SUMIFS(Schedules[Team 2 Score],Schedules[Team 1 Name],B182)+SUMIFS(Schedules[Team 1 Score],Schedules[Team 2 Name],B182)</f>
        <v>9605</v>
      </c>
      <c r="J182" s="115">
        <f ca="1">IFERROR(BEGMD[[#This Row],[Conceded Score]]/BEGMD[[#This Row],[Total Score]],0%)</f>
        <v>1.050300710770913</v>
      </c>
    </row>
    <row r="183" spans="1:10" x14ac:dyDescent="0.25">
      <c r="A183" s="102" t="str">
        <f>'Registrations'!A153</f>
        <v>Beginner Men's Doubles</v>
      </c>
      <c r="B183" s="108">
        <f>'Registrations'!E153</f>
        <v>0</v>
      </c>
      <c r="C183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3" s="102">
        <f ca="1">BEGMD[[#This Row],[Wins]]*3</f>
        <v>987</v>
      </c>
      <c r="E183" s="102">
        <f ca="1">COUNTIF(Schedules[Team 1 Name], B183) + COUNTIF(Schedules[Team 2 Name], B183)</f>
        <v>756</v>
      </c>
      <c r="F183" s="102">
        <f ca="1">COUNTIFS(Schedules[Team 1 Name], B183, Schedules[Team 1 Outcome], "Win") + COUNTIFS(Schedules[Team 2 Name], B183, Schedules[Team 2 Outcome], "Win")</f>
        <v>329</v>
      </c>
      <c r="G183" s="115">
        <f>IFERROR(OpenSingles[[#This Row],[Wins]]/OpenSingles[[#This Row],[Matches Played]],0%)</f>
        <v>0</v>
      </c>
      <c r="H183" s="102">
        <f ca="1">SUMIFS(Schedules[Team 1 Score],Schedules[Team 1 Name],B183)+SUMIFS(Schedules[Team 2 Score],Schedules[Team 2 Name],B183)</f>
        <v>9145</v>
      </c>
      <c r="I183" s="102">
        <f ca="1">SUMIFS(Schedules[Team 2 Score],Schedules[Team 1 Name],B183)+SUMIFS(Schedules[Team 1 Score],Schedules[Team 2 Name],B183)</f>
        <v>9605</v>
      </c>
      <c r="J183" s="115">
        <f ca="1">IFERROR(BEGMD[[#This Row],[Conceded Score]]/BEGMD[[#This Row],[Total Score]],0%)</f>
        <v>1.050300710770913</v>
      </c>
    </row>
    <row r="184" spans="1:10" x14ac:dyDescent="0.25">
      <c r="A184" s="102" t="str">
        <f>'Registrations'!A154</f>
        <v>Beginner Men's Doubles</v>
      </c>
      <c r="B184" s="108">
        <f>'Registrations'!E154</f>
        <v>0</v>
      </c>
      <c r="C184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4" s="102">
        <f ca="1">BEGMD[[#This Row],[Wins]]*3</f>
        <v>987</v>
      </c>
      <c r="E184" s="102">
        <f ca="1">COUNTIF(Schedules[Team 1 Name], B184) + COUNTIF(Schedules[Team 2 Name], B184)</f>
        <v>756</v>
      </c>
      <c r="F184" s="102">
        <f ca="1">COUNTIFS(Schedules[Team 1 Name], B184, Schedules[Team 1 Outcome], "Win") + COUNTIFS(Schedules[Team 2 Name], B184, Schedules[Team 2 Outcome], "Win")</f>
        <v>329</v>
      </c>
      <c r="G184" s="115">
        <f>IFERROR(OpenSingles[[#This Row],[Wins]]/OpenSingles[[#This Row],[Matches Played]],0%)</f>
        <v>0</v>
      </c>
      <c r="H184" s="102">
        <f ca="1">SUMIFS(Schedules[Team 1 Score],Schedules[Team 1 Name],B184)+SUMIFS(Schedules[Team 2 Score],Schedules[Team 2 Name],B184)</f>
        <v>9145</v>
      </c>
      <c r="I184" s="102">
        <f ca="1">SUMIFS(Schedules[Team 2 Score],Schedules[Team 1 Name],B184)+SUMIFS(Schedules[Team 1 Score],Schedules[Team 2 Name],B184)</f>
        <v>9605</v>
      </c>
      <c r="J184" s="115">
        <f ca="1">IFERROR(BEGMD[[#This Row],[Conceded Score]]/BEGMD[[#This Row],[Total Score]],0%)</f>
        <v>1.050300710770913</v>
      </c>
    </row>
    <row r="185" spans="1:10" x14ac:dyDescent="0.25">
      <c r="A185" s="102" t="str">
        <f>'Registrations'!A155</f>
        <v>Beginner Men's Doubles</v>
      </c>
      <c r="B185" s="108">
        <f>'Registrations'!E155</f>
        <v>0</v>
      </c>
      <c r="C185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5" s="102">
        <f ca="1">BEGMD[[#This Row],[Wins]]*3</f>
        <v>987</v>
      </c>
      <c r="E185" s="102">
        <f ca="1">COUNTIF(Schedules[Team 1 Name], B185) + COUNTIF(Schedules[Team 2 Name], B185)</f>
        <v>756</v>
      </c>
      <c r="F185" s="102">
        <f ca="1">COUNTIFS(Schedules[Team 1 Name], B185, Schedules[Team 1 Outcome], "Win") + COUNTIFS(Schedules[Team 2 Name], B185, Schedules[Team 2 Outcome], "Win")</f>
        <v>329</v>
      </c>
      <c r="G185" s="115">
        <f>IFERROR(OpenSingles[[#This Row],[Wins]]/OpenSingles[[#This Row],[Matches Played]],0%)</f>
        <v>0</v>
      </c>
      <c r="H185" s="102">
        <f ca="1">SUMIFS(Schedules[Team 1 Score],Schedules[Team 1 Name],B185)+SUMIFS(Schedules[Team 2 Score],Schedules[Team 2 Name],B185)</f>
        <v>9145</v>
      </c>
      <c r="I185" s="102">
        <f ca="1">SUMIFS(Schedules[Team 2 Score],Schedules[Team 1 Name],B185)+SUMIFS(Schedules[Team 1 Score],Schedules[Team 2 Name],B185)</f>
        <v>9605</v>
      </c>
      <c r="J185" s="115">
        <f ca="1">IFERROR(BEGMD[[#This Row],[Conceded Score]]/BEGMD[[#This Row],[Total Score]],0%)</f>
        <v>1.050300710770913</v>
      </c>
    </row>
    <row r="186" spans="1:10" x14ac:dyDescent="0.25">
      <c r="A186" s="102" t="str">
        <f>'Registrations'!A156</f>
        <v>Beginner Men's Doubles</v>
      </c>
      <c r="B186" s="108">
        <f>'Registrations'!E156</f>
        <v>0</v>
      </c>
      <c r="C186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6" s="102">
        <f ca="1">BEGMD[[#This Row],[Wins]]*3</f>
        <v>987</v>
      </c>
      <c r="E186" s="102">
        <f ca="1">COUNTIF(Schedules[Team 1 Name], B186) + COUNTIF(Schedules[Team 2 Name], B186)</f>
        <v>756</v>
      </c>
      <c r="F186" s="102">
        <f ca="1">COUNTIFS(Schedules[Team 1 Name], B186, Schedules[Team 1 Outcome], "Win") + COUNTIFS(Schedules[Team 2 Name], B186, Schedules[Team 2 Outcome], "Win")</f>
        <v>329</v>
      </c>
      <c r="G186" s="115">
        <f>IFERROR(OpenSingles[[#This Row],[Wins]]/OpenSingles[[#This Row],[Matches Played]],0%)</f>
        <v>0</v>
      </c>
      <c r="H186" s="102">
        <f ca="1">SUMIFS(Schedules[Team 1 Score],Schedules[Team 1 Name],B186)+SUMIFS(Schedules[Team 2 Score],Schedules[Team 2 Name],B186)</f>
        <v>9145</v>
      </c>
      <c r="I186" s="102">
        <f ca="1">SUMIFS(Schedules[Team 2 Score],Schedules[Team 1 Name],B186)+SUMIFS(Schedules[Team 1 Score],Schedules[Team 2 Name],B186)</f>
        <v>9605</v>
      </c>
      <c r="J186" s="115">
        <f ca="1">IFERROR(BEGMD[[#This Row],[Conceded Score]]/BEGMD[[#This Row],[Total Score]],0%)</f>
        <v>1.050300710770913</v>
      </c>
    </row>
    <row r="187" spans="1:10" x14ac:dyDescent="0.25">
      <c r="A187" s="102" t="str">
        <f>'Registrations'!A157</f>
        <v>Beginner Men's Doubles</v>
      </c>
      <c r="B187" s="108">
        <f>'Registrations'!E157</f>
        <v>0</v>
      </c>
      <c r="C187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7" s="102">
        <f ca="1">BEGMD[[#This Row],[Wins]]*3</f>
        <v>987</v>
      </c>
      <c r="E187" s="102">
        <f ca="1">COUNTIF(Schedules[Team 1 Name], B187) + COUNTIF(Schedules[Team 2 Name], B187)</f>
        <v>756</v>
      </c>
      <c r="F187" s="102">
        <f ca="1">COUNTIFS(Schedules[Team 1 Name], B187, Schedules[Team 1 Outcome], "Win") + COUNTIFS(Schedules[Team 2 Name], B187, Schedules[Team 2 Outcome], "Win")</f>
        <v>329</v>
      </c>
      <c r="G187" s="115">
        <f>IFERROR(OpenSingles[[#This Row],[Wins]]/OpenSingles[[#This Row],[Matches Played]],0%)</f>
        <v>0</v>
      </c>
      <c r="H187" s="102">
        <f ca="1">SUMIFS(Schedules[Team 1 Score],Schedules[Team 1 Name],B187)+SUMIFS(Schedules[Team 2 Score],Schedules[Team 2 Name],B187)</f>
        <v>9145</v>
      </c>
      <c r="I187" s="102">
        <f ca="1">SUMIFS(Schedules[Team 2 Score],Schedules[Team 1 Name],B187)+SUMIFS(Schedules[Team 1 Score],Schedules[Team 2 Name],B187)</f>
        <v>9605</v>
      </c>
      <c r="J187" s="115">
        <f ca="1">IFERROR(BEGMD[[#This Row],[Conceded Score]]/BEGMD[[#This Row],[Total Score]],0%)</f>
        <v>1.050300710770913</v>
      </c>
    </row>
    <row r="188" spans="1:10" x14ac:dyDescent="0.25">
      <c r="A188" s="102" t="str">
        <f>'Registrations'!A158</f>
        <v>Beginner Men's Doubles</v>
      </c>
      <c r="B188" s="108">
        <f>'Registrations'!E158</f>
        <v>0</v>
      </c>
      <c r="C188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8" s="102">
        <f ca="1">BEGMD[[#This Row],[Wins]]*3</f>
        <v>987</v>
      </c>
      <c r="E188" s="102">
        <f ca="1">COUNTIF(Schedules[Team 1 Name], B188) + COUNTIF(Schedules[Team 2 Name], B188)</f>
        <v>756</v>
      </c>
      <c r="F188" s="102">
        <f ca="1">COUNTIFS(Schedules[Team 1 Name], B188, Schedules[Team 1 Outcome], "Win") + COUNTIFS(Schedules[Team 2 Name], B188, Schedules[Team 2 Outcome], "Win")</f>
        <v>329</v>
      </c>
      <c r="G188" s="115">
        <f>IFERROR(OpenSingles[[#This Row],[Wins]]/OpenSingles[[#This Row],[Matches Played]],0%)</f>
        <v>0</v>
      </c>
      <c r="H188" s="102">
        <f ca="1">SUMIFS(Schedules[Team 1 Score],Schedules[Team 1 Name],B188)+SUMIFS(Schedules[Team 2 Score],Schedules[Team 2 Name],B188)</f>
        <v>9145</v>
      </c>
      <c r="I188" s="102">
        <f ca="1">SUMIFS(Schedules[Team 2 Score],Schedules[Team 1 Name],B188)+SUMIFS(Schedules[Team 1 Score],Schedules[Team 2 Name],B188)</f>
        <v>9605</v>
      </c>
      <c r="J188" s="115">
        <f ca="1">IFERROR(BEGMD[[#This Row],[Conceded Score]]/BEGMD[[#This Row],[Total Score]],0%)</f>
        <v>1.050300710770913</v>
      </c>
    </row>
    <row r="189" spans="1:10" x14ac:dyDescent="0.25">
      <c r="A189" s="102" t="str">
        <f>'Registrations'!A159</f>
        <v>Beginner Men's Doubles</v>
      </c>
      <c r="B189" s="108">
        <f>'Registrations'!E159</f>
        <v>0</v>
      </c>
      <c r="C189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89" s="102">
        <f ca="1">BEGMD[[#This Row],[Wins]]*3</f>
        <v>987</v>
      </c>
      <c r="E189" s="102">
        <f ca="1">COUNTIF(Schedules[Team 1 Name], B189) + COUNTIF(Schedules[Team 2 Name], B189)</f>
        <v>756</v>
      </c>
      <c r="F189" s="102">
        <f ca="1">COUNTIFS(Schedules[Team 1 Name], B189, Schedules[Team 1 Outcome], "Win") + COUNTIFS(Schedules[Team 2 Name], B189, Schedules[Team 2 Outcome], "Win")</f>
        <v>329</v>
      </c>
      <c r="G189" s="115">
        <f>IFERROR(OpenSingles[[#This Row],[Wins]]/OpenSingles[[#This Row],[Matches Played]],0%)</f>
        <v>0</v>
      </c>
      <c r="H189" s="102">
        <f ca="1">SUMIFS(Schedules[Team 1 Score],Schedules[Team 1 Name],B189)+SUMIFS(Schedules[Team 2 Score],Schedules[Team 2 Name],B189)</f>
        <v>9145</v>
      </c>
      <c r="I189" s="102">
        <f ca="1">SUMIFS(Schedules[Team 2 Score],Schedules[Team 1 Name],B189)+SUMIFS(Schedules[Team 1 Score],Schedules[Team 2 Name],B189)</f>
        <v>9605</v>
      </c>
      <c r="J189" s="115">
        <f ca="1">IFERROR(BEGMD[[#This Row],[Conceded Score]]/BEGMD[[#This Row],[Total Score]],0%)</f>
        <v>1.050300710770913</v>
      </c>
    </row>
    <row r="190" spans="1:10" x14ac:dyDescent="0.25">
      <c r="A190" s="102" t="str">
        <f>'Registrations'!A160</f>
        <v>Beginner Men's Doubles</v>
      </c>
      <c r="B190" s="108">
        <f>'Registrations'!E160</f>
        <v>0</v>
      </c>
      <c r="C190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0" s="102">
        <f ca="1">BEGMD[[#This Row],[Wins]]*3</f>
        <v>987</v>
      </c>
      <c r="E190" s="102">
        <f ca="1">COUNTIF(Schedules[Team 1 Name], B190) + COUNTIF(Schedules[Team 2 Name], B190)</f>
        <v>756</v>
      </c>
      <c r="F190" s="102">
        <f ca="1">COUNTIFS(Schedules[Team 1 Name], B190, Schedules[Team 1 Outcome], "Win") + COUNTIFS(Schedules[Team 2 Name], B190, Schedules[Team 2 Outcome], "Win")</f>
        <v>329</v>
      </c>
      <c r="G190" s="115">
        <f>IFERROR(OpenSingles[[#This Row],[Wins]]/OpenSingles[[#This Row],[Matches Played]],0%)</f>
        <v>0</v>
      </c>
      <c r="H190" s="102">
        <f ca="1">SUMIFS(Schedules[Team 1 Score],Schedules[Team 1 Name],B190)+SUMIFS(Schedules[Team 2 Score],Schedules[Team 2 Name],B190)</f>
        <v>9145</v>
      </c>
      <c r="I190" s="102">
        <f ca="1">SUMIFS(Schedules[Team 2 Score],Schedules[Team 1 Name],B190)+SUMIFS(Schedules[Team 1 Score],Schedules[Team 2 Name],B190)</f>
        <v>9605</v>
      </c>
      <c r="J190" s="115">
        <f ca="1">IFERROR(BEGMD[[#This Row],[Conceded Score]]/BEGMD[[#This Row],[Total Score]],0%)</f>
        <v>1.050300710770913</v>
      </c>
    </row>
    <row r="191" spans="1:10" x14ac:dyDescent="0.25">
      <c r="A191" s="102" t="str">
        <f>'Registrations'!A161</f>
        <v>Beginner Men's Doubles</v>
      </c>
      <c r="B191" s="108">
        <f>'Registrations'!E161</f>
        <v>0</v>
      </c>
      <c r="C191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1" s="102">
        <f ca="1">BEGMD[[#This Row],[Wins]]*3</f>
        <v>987</v>
      </c>
      <c r="E191" s="102">
        <f ca="1">COUNTIF(Schedules[Team 1 Name], B191) + COUNTIF(Schedules[Team 2 Name], B191)</f>
        <v>756</v>
      </c>
      <c r="F191" s="102">
        <f ca="1">COUNTIFS(Schedules[Team 1 Name], B191, Schedules[Team 1 Outcome], "Win") + COUNTIFS(Schedules[Team 2 Name], B191, Schedules[Team 2 Outcome], "Win")</f>
        <v>329</v>
      </c>
      <c r="G191" s="115">
        <f>IFERROR(OpenSingles[[#This Row],[Wins]]/OpenSingles[[#This Row],[Matches Played]],0%)</f>
        <v>0</v>
      </c>
      <c r="H191" s="102">
        <f ca="1">SUMIFS(Schedules[Team 1 Score],Schedules[Team 1 Name],B191)+SUMIFS(Schedules[Team 2 Score],Schedules[Team 2 Name],B191)</f>
        <v>9145</v>
      </c>
      <c r="I191" s="102">
        <f ca="1">SUMIFS(Schedules[Team 2 Score],Schedules[Team 1 Name],B191)+SUMIFS(Schedules[Team 1 Score],Schedules[Team 2 Name],B191)</f>
        <v>9605</v>
      </c>
      <c r="J191" s="115">
        <f ca="1">IFERROR(BEGMD[[#This Row],[Conceded Score]]/BEGMD[[#This Row],[Total Score]],0%)</f>
        <v>1.050300710770913</v>
      </c>
    </row>
    <row r="192" spans="1:10" x14ac:dyDescent="0.25">
      <c r="A192" s="102" t="str">
        <f>'Registrations'!A162</f>
        <v>Beginner Men's Doubles</v>
      </c>
      <c r="B192" s="108">
        <f>'Registrations'!E162</f>
        <v>0</v>
      </c>
      <c r="C192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2" s="102">
        <f ca="1">BEGMD[[#This Row],[Wins]]*3</f>
        <v>987</v>
      </c>
      <c r="E192" s="102">
        <f ca="1">COUNTIF(Schedules[Team 1 Name], B192) + COUNTIF(Schedules[Team 2 Name], B192)</f>
        <v>756</v>
      </c>
      <c r="F192" s="102">
        <f ca="1">COUNTIFS(Schedules[Team 1 Name], B192, Schedules[Team 1 Outcome], "Win") + COUNTIFS(Schedules[Team 2 Name], B192, Schedules[Team 2 Outcome], "Win")</f>
        <v>329</v>
      </c>
      <c r="G192" s="115">
        <f>IFERROR(OpenSingles[[#This Row],[Wins]]/OpenSingles[[#This Row],[Matches Played]],0%)</f>
        <v>0</v>
      </c>
      <c r="H192" s="102">
        <f ca="1">SUMIFS(Schedules[Team 1 Score],Schedules[Team 1 Name],B192)+SUMIFS(Schedules[Team 2 Score],Schedules[Team 2 Name],B192)</f>
        <v>9145</v>
      </c>
      <c r="I192" s="102">
        <f ca="1">SUMIFS(Schedules[Team 2 Score],Schedules[Team 1 Name],B192)+SUMIFS(Schedules[Team 1 Score],Schedules[Team 2 Name],B192)</f>
        <v>9605</v>
      </c>
      <c r="J192" s="115">
        <f ca="1">IFERROR(BEGMD[[#This Row],[Conceded Score]]/BEGMD[[#This Row],[Total Score]],0%)</f>
        <v>1.050300710770913</v>
      </c>
    </row>
    <row r="193" spans="1:10" x14ac:dyDescent="0.25">
      <c r="A193" s="102" t="str">
        <f>'Registrations'!A163</f>
        <v>Beginner Men's Doubles</v>
      </c>
      <c r="B193" s="108">
        <f>'Registrations'!E163</f>
        <v>0</v>
      </c>
      <c r="C193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3" s="102">
        <f ca="1">BEGMD[[#This Row],[Wins]]*3</f>
        <v>987</v>
      </c>
      <c r="E193" s="102">
        <f ca="1">COUNTIF(Schedules[Team 1 Name], B193) + COUNTIF(Schedules[Team 2 Name], B193)</f>
        <v>756</v>
      </c>
      <c r="F193" s="102">
        <f ca="1">COUNTIFS(Schedules[Team 1 Name], B193, Schedules[Team 1 Outcome], "Win") + COUNTIFS(Schedules[Team 2 Name], B193, Schedules[Team 2 Outcome], "Win")</f>
        <v>329</v>
      </c>
      <c r="G193" s="115">
        <f>IFERROR(OpenSingles[[#This Row],[Wins]]/OpenSingles[[#This Row],[Matches Played]],0%)</f>
        <v>0</v>
      </c>
      <c r="H193" s="102">
        <f ca="1">SUMIFS(Schedules[Team 1 Score],Schedules[Team 1 Name],B193)+SUMIFS(Schedules[Team 2 Score],Schedules[Team 2 Name],B193)</f>
        <v>9145</v>
      </c>
      <c r="I193" s="102">
        <f ca="1">SUMIFS(Schedules[Team 2 Score],Schedules[Team 1 Name],B193)+SUMIFS(Schedules[Team 1 Score],Schedules[Team 2 Name],B193)</f>
        <v>9605</v>
      </c>
      <c r="J193" s="115">
        <f ca="1">IFERROR(BEGMD[[#This Row],[Conceded Score]]/BEGMD[[#This Row],[Total Score]],0%)</f>
        <v>1.050300710770913</v>
      </c>
    </row>
    <row r="194" spans="1:10" x14ac:dyDescent="0.25">
      <c r="A194" s="102" t="str">
        <f>'Registrations'!A164</f>
        <v>Beginner Men's Doubles</v>
      </c>
      <c r="B194" s="108">
        <f>'Registrations'!E164</f>
        <v>0</v>
      </c>
      <c r="C194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4" s="102">
        <f ca="1">BEGMD[[#This Row],[Wins]]*3</f>
        <v>987</v>
      </c>
      <c r="E194" s="102">
        <f ca="1">COUNTIF(Schedules[Team 1 Name], B194) + COUNTIF(Schedules[Team 2 Name], B194)</f>
        <v>756</v>
      </c>
      <c r="F194" s="102">
        <f ca="1">COUNTIFS(Schedules[Team 1 Name], B194, Schedules[Team 1 Outcome], "Win") + COUNTIFS(Schedules[Team 2 Name], B194, Schedules[Team 2 Outcome], "Win")</f>
        <v>329</v>
      </c>
      <c r="G194" s="115">
        <f>IFERROR(OpenSingles[[#This Row],[Wins]]/OpenSingles[[#This Row],[Matches Played]],0%)</f>
        <v>0</v>
      </c>
      <c r="H194" s="102">
        <f ca="1">SUMIFS(Schedules[Team 1 Score],Schedules[Team 1 Name],B194)+SUMIFS(Schedules[Team 2 Score],Schedules[Team 2 Name],B194)</f>
        <v>9145</v>
      </c>
      <c r="I194" s="102">
        <f ca="1">SUMIFS(Schedules[Team 2 Score],Schedules[Team 1 Name],B194)+SUMIFS(Schedules[Team 1 Score],Schedules[Team 2 Name],B194)</f>
        <v>9605</v>
      </c>
      <c r="J194" s="115">
        <f ca="1">IFERROR(BEGMD[[#This Row],[Conceded Score]]/BEGMD[[#This Row],[Total Score]],0%)</f>
        <v>1.050300710770913</v>
      </c>
    </row>
    <row r="195" spans="1:10" x14ac:dyDescent="0.25">
      <c r="A195" s="102" t="str">
        <f>'Registrations'!A165</f>
        <v>Beginner Men's Doubles</v>
      </c>
      <c r="B195" s="108">
        <f>'Registrations'!E165</f>
        <v>0</v>
      </c>
      <c r="C195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5" s="102">
        <f ca="1">BEGMD[[#This Row],[Wins]]*3</f>
        <v>987</v>
      </c>
      <c r="E195" s="102">
        <f ca="1">COUNTIF(Schedules[Team 1 Name], B195) + COUNTIF(Schedules[Team 2 Name], B195)</f>
        <v>756</v>
      </c>
      <c r="F195" s="102">
        <f ca="1">COUNTIFS(Schedules[Team 1 Name], B195, Schedules[Team 1 Outcome], "Win") + COUNTIFS(Schedules[Team 2 Name], B195, Schedules[Team 2 Outcome], "Win")</f>
        <v>329</v>
      </c>
      <c r="G195" s="115">
        <f>IFERROR(OpenSingles[[#This Row],[Wins]]/OpenSingles[[#This Row],[Matches Played]],0%)</f>
        <v>0</v>
      </c>
      <c r="H195" s="102">
        <f ca="1">SUMIFS(Schedules[Team 1 Score],Schedules[Team 1 Name],B195)+SUMIFS(Schedules[Team 2 Score],Schedules[Team 2 Name],B195)</f>
        <v>9145</v>
      </c>
      <c r="I195" s="102">
        <f ca="1">SUMIFS(Schedules[Team 2 Score],Schedules[Team 1 Name],B195)+SUMIFS(Schedules[Team 1 Score],Schedules[Team 2 Name],B195)</f>
        <v>9605</v>
      </c>
      <c r="J195" s="115">
        <f ca="1">IFERROR(BEGMD[[#This Row],[Conceded Score]]/BEGMD[[#This Row],[Total Score]],0%)</f>
        <v>1.050300710770913</v>
      </c>
    </row>
    <row r="196" spans="1:10" x14ac:dyDescent="0.25">
      <c r="A196" s="102" t="str">
        <f>'Registrations'!A166</f>
        <v>Beginner Men's Doubles</v>
      </c>
      <c r="B196" s="108">
        <f>'Registrations'!E166</f>
        <v>0</v>
      </c>
      <c r="C196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6" s="102">
        <f ca="1">BEGMD[[#This Row],[Wins]]*3</f>
        <v>987</v>
      </c>
      <c r="E196" s="102">
        <f ca="1">COUNTIF(Schedules[Team 1 Name], B196) + COUNTIF(Schedules[Team 2 Name], B196)</f>
        <v>756</v>
      </c>
      <c r="F196" s="102">
        <f ca="1">COUNTIFS(Schedules[Team 1 Name], B196, Schedules[Team 1 Outcome], "Win") + COUNTIFS(Schedules[Team 2 Name], B196, Schedules[Team 2 Outcome], "Win")</f>
        <v>329</v>
      </c>
      <c r="G196" s="115">
        <f>IFERROR(OpenSingles[[#This Row],[Wins]]/OpenSingles[[#This Row],[Matches Played]],0%)</f>
        <v>0</v>
      </c>
      <c r="H196" s="102">
        <f ca="1">SUMIFS(Schedules[Team 1 Score],Schedules[Team 1 Name],B196)+SUMIFS(Schedules[Team 2 Score],Schedules[Team 2 Name],B196)</f>
        <v>9145</v>
      </c>
      <c r="I196" s="102">
        <f ca="1">SUMIFS(Schedules[Team 2 Score],Schedules[Team 1 Name],B196)+SUMIFS(Schedules[Team 1 Score],Schedules[Team 2 Name],B196)</f>
        <v>9605</v>
      </c>
      <c r="J196" s="115">
        <f ca="1">IFERROR(BEGMD[[#This Row],[Conceded Score]]/BEGMD[[#This Row],[Total Score]],0%)</f>
        <v>1.050300710770913</v>
      </c>
    </row>
    <row r="197" spans="1:10" x14ac:dyDescent="0.25">
      <c r="A197" s="102" t="str">
        <f>'Registrations'!A167</f>
        <v>Beginner Men's Doubles</v>
      </c>
      <c r="B197" s="108">
        <f>'Registrations'!E167</f>
        <v>0</v>
      </c>
      <c r="C197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7" s="102">
        <f ca="1">BEGMD[[#This Row],[Wins]]*3</f>
        <v>987</v>
      </c>
      <c r="E197" s="102">
        <f ca="1">COUNTIF(Schedules[Team 1 Name], B197) + COUNTIF(Schedules[Team 2 Name], B197)</f>
        <v>756</v>
      </c>
      <c r="F197" s="102">
        <f ca="1">COUNTIFS(Schedules[Team 1 Name], B197, Schedules[Team 1 Outcome], "Win") + COUNTIFS(Schedules[Team 2 Name], B197, Schedules[Team 2 Outcome], "Win")</f>
        <v>329</v>
      </c>
      <c r="G197" s="115">
        <f>IFERROR(OpenSingles[[#This Row],[Wins]]/OpenSingles[[#This Row],[Matches Played]],0%)</f>
        <v>0</v>
      </c>
      <c r="H197" s="102">
        <f ca="1">SUMIFS(Schedules[Team 1 Score],Schedules[Team 1 Name],B197)+SUMIFS(Schedules[Team 2 Score],Schedules[Team 2 Name],B197)</f>
        <v>9145</v>
      </c>
      <c r="I197" s="102">
        <f ca="1">SUMIFS(Schedules[Team 2 Score],Schedules[Team 1 Name],B197)+SUMIFS(Schedules[Team 1 Score],Schedules[Team 2 Name],B197)</f>
        <v>9605</v>
      </c>
      <c r="J197" s="115">
        <f ca="1">IFERROR(BEGMD[[#This Row],[Conceded Score]]/BEGMD[[#This Row],[Total Score]],0%)</f>
        <v>1.050300710770913</v>
      </c>
    </row>
    <row r="198" spans="1:10" x14ac:dyDescent="0.25">
      <c r="A198" s="102" t="str">
        <f>'Registrations'!A168</f>
        <v>Beginner Men's Doubles</v>
      </c>
      <c r="B198" s="108">
        <f>'Registrations'!E168</f>
        <v>0</v>
      </c>
      <c r="C198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8" s="102">
        <f ca="1">BEGMD[[#This Row],[Wins]]*3</f>
        <v>987</v>
      </c>
      <c r="E198" s="102">
        <f ca="1">COUNTIF(Schedules[Team 1 Name], B198) + COUNTIF(Schedules[Team 2 Name], B198)</f>
        <v>756</v>
      </c>
      <c r="F198" s="102">
        <f ca="1">COUNTIFS(Schedules[Team 1 Name], B198, Schedules[Team 1 Outcome], "Win") + COUNTIFS(Schedules[Team 2 Name], B198, Schedules[Team 2 Outcome], "Win")</f>
        <v>329</v>
      </c>
      <c r="G198" s="115">
        <f>IFERROR(OpenSingles[[#This Row],[Wins]]/OpenSingles[[#This Row],[Matches Played]],0%)</f>
        <v>0</v>
      </c>
      <c r="H198" s="102">
        <f ca="1">SUMIFS(Schedules[Team 1 Score],Schedules[Team 1 Name],B198)+SUMIFS(Schedules[Team 2 Score],Schedules[Team 2 Name],B198)</f>
        <v>9145</v>
      </c>
      <c r="I198" s="102">
        <f ca="1">SUMIFS(Schedules[Team 2 Score],Schedules[Team 1 Name],B198)+SUMIFS(Schedules[Team 1 Score],Schedules[Team 2 Name],B198)</f>
        <v>9605</v>
      </c>
      <c r="J198" s="115">
        <f ca="1">IFERROR(BEGMD[[#This Row],[Conceded Score]]/BEGMD[[#This Row],[Total Score]],0%)</f>
        <v>1.050300710770913</v>
      </c>
    </row>
    <row r="199" spans="1:10" x14ac:dyDescent="0.25">
      <c r="A199" s="102" t="str">
        <f>'Registrations'!A169</f>
        <v>Beginner Men's Doubles</v>
      </c>
      <c r="B199" s="108">
        <f>'Registrations'!E169</f>
        <v>0</v>
      </c>
      <c r="C199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199" s="102">
        <f ca="1">BEGMD[[#This Row],[Wins]]*3</f>
        <v>987</v>
      </c>
      <c r="E199" s="102">
        <f ca="1">COUNTIF(Schedules[Team 1 Name], B199) + COUNTIF(Schedules[Team 2 Name], B199)</f>
        <v>756</v>
      </c>
      <c r="F199" s="102">
        <f ca="1">COUNTIFS(Schedules[Team 1 Name], B199, Schedules[Team 1 Outcome], "Win") + COUNTIFS(Schedules[Team 2 Name], B199, Schedules[Team 2 Outcome], "Win")</f>
        <v>329</v>
      </c>
      <c r="G199" s="115">
        <f>IFERROR(OpenSingles[[#This Row],[Wins]]/OpenSingles[[#This Row],[Matches Played]],0%)</f>
        <v>0</v>
      </c>
      <c r="H199" s="102">
        <f ca="1">SUMIFS(Schedules[Team 1 Score],Schedules[Team 1 Name],B199)+SUMIFS(Schedules[Team 2 Score],Schedules[Team 2 Name],B199)</f>
        <v>9145</v>
      </c>
      <c r="I199" s="102">
        <f ca="1">SUMIFS(Schedules[Team 2 Score],Schedules[Team 1 Name],B199)+SUMIFS(Schedules[Team 1 Score],Schedules[Team 2 Name],B199)</f>
        <v>9605</v>
      </c>
      <c r="J199" s="115">
        <f ca="1">IFERROR(BEGMD[[#This Row],[Conceded Score]]/BEGMD[[#This Row],[Total Score]],0%)</f>
        <v>1.050300710770913</v>
      </c>
    </row>
    <row r="200" spans="1:10" x14ac:dyDescent="0.25">
      <c r="A200" s="102" t="str">
        <f>'Registrations'!A170</f>
        <v>Beginner Men's Doubles</v>
      </c>
      <c r="B200" s="108">
        <f>'Registrations'!E170</f>
        <v>0</v>
      </c>
      <c r="C200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200" s="102">
        <f ca="1">BEGMD[[#This Row],[Wins]]*3</f>
        <v>987</v>
      </c>
      <c r="E200" s="102">
        <f ca="1">COUNTIF(Schedules[Team 1 Name], B200) + COUNTIF(Schedules[Team 2 Name], B200)</f>
        <v>756</v>
      </c>
      <c r="F200" s="102">
        <f ca="1">COUNTIFS(Schedules[Team 1 Name], B200, Schedules[Team 1 Outcome], "Win") + COUNTIFS(Schedules[Team 2 Name], B200, Schedules[Team 2 Outcome], "Win")</f>
        <v>329</v>
      </c>
      <c r="G200" s="115">
        <f>IFERROR(OpenSingles[[#This Row],[Wins]]/OpenSingles[[#This Row],[Matches Played]],0%)</f>
        <v>0</v>
      </c>
      <c r="H200" s="102">
        <f ca="1">SUMIFS(Schedules[Team 1 Score],Schedules[Team 1 Name],B200)+SUMIFS(Schedules[Team 2 Score],Schedules[Team 2 Name],B200)</f>
        <v>9145</v>
      </c>
      <c r="I200" s="102">
        <f ca="1">SUMIFS(Schedules[Team 2 Score],Schedules[Team 1 Name],B200)+SUMIFS(Schedules[Team 1 Score],Schedules[Team 2 Name],B200)</f>
        <v>9605</v>
      </c>
      <c r="J200" s="115">
        <f ca="1">IFERROR(BEGMD[[#This Row],[Conceded Score]]/BEGMD[[#This Row],[Total Score]],0%)</f>
        <v>1.050300710770913</v>
      </c>
    </row>
    <row r="201" spans="1:10" x14ac:dyDescent="0.25">
      <c r="A201" s="102" t="str">
        <f>'Registrations'!A171</f>
        <v>Beginner Men's Doubles</v>
      </c>
      <c r="B201" s="108">
        <f>'Registrations'!E171</f>
        <v>0</v>
      </c>
      <c r="C201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201" s="102">
        <f ca="1">BEGMD[[#This Row],[Wins]]*3</f>
        <v>987</v>
      </c>
      <c r="E201" s="102">
        <f ca="1">COUNTIF(Schedules[Team 1 Name], B201) + COUNTIF(Schedules[Team 2 Name], B201)</f>
        <v>756</v>
      </c>
      <c r="F201" s="102">
        <f ca="1">COUNTIFS(Schedules[Team 1 Name], B201, Schedules[Team 1 Outcome], "Win") + COUNTIFS(Schedules[Team 2 Name], B201, Schedules[Team 2 Outcome], "Win")</f>
        <v>329</v>
      </c>
      <c r="G201" s="115">
        <f>IFERROR(OpenSingles[[#This Row],[Wins]]/OpenSingles[[#This Row],[Matches Played]],0%)</f>
        <v>0</v>
      </c>
      <c r="H201" s="102">
        <f ca="1">SUMIFS(Schedules[Team 1 Score],Schedules[Team 1 Name],B201)+SUMIFS(Schedules[Team 2 Score],Schedules[Team 2 Name],B201)</f>
        <v>9145</v>
      </c>
      <c r="I201" s="102">
        <f ca="1">SUMIFS(Schedules[Team 2 Score],Schedules[Team 1 Name],B201)+SUMIFS(Schedules[Team 1 Score],Schedules[Team 2 Name],B201)</f>
        <v>9605</v>
      </c>
      <c r="J201" s="115">
        <f ca="1">IFERROR(BEGMD[[#This Row],[Conceded Score]]/BEGMD[[#This Row],[Total Score]],0%)</f>
        <v>1.050300710770913</v>
      </c>
    </row>
    <row r="202" spans="1:10" x14ac:dyDescent="0.25">
      <c r="A202" s="102" t="str">
        <f>'Registrations'!A172</f>
        <v>Beginner Men's Doubles</v>
      </c>
      <c r="B202" s="108">
        <f>'Registrations'!E172</f>
        <v>0</v>
      </c>
      <c r="C202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202" s="102">
        <f ca="1">BEGMD[[#This Row],[Wins]]*3</f>
        <v>987</v>
      </c>
      <c r="E202" s="102">
        <f ca="1">COUNTIF(Schedules[Team 1 Name], B202) + COUNTIF(Schedules[Team 2 Name], B202)</f>
        <v>756</v>
      </c>
      <c r="F202" s="102">
        <f ca="1">COUNTIFS(Schedules[Team 1 Name], B202, Schedules[Team 1 Outcome], "Win") + COUNTIFS(Schedules[Team 2 Name], B202, Schedules[Team 2 Outcome], "Win")</f>
        <v>329</v>
      </c>
      <c r="G202" s="115">
        <f>IFERROR(OpenSingles[[#This Row],[Wins]]/OpenSingles[[#This Row],[Matches Played]],0%)</f>
        <v>0</v>
      </c>
      <c r="H202" s="102">
        <f ca="1">SUMIFS(Schedules[Team 1 Score],Schedules[Team 1 Name],B202)+SUMIFS(Schedules[Team 2 Score],Schedules[Team 2 Name],B202)</f>
        <v>9145</v>
      </c>
      <c r="I202" s="102">
        <f ca="1">SUMIFS(Schedules[Team 2 Score],Schedules[Team 1 Name],B202)+SUMIFS(Schedules[Team 1 Score],Schedules[Team 2 Name],B202)</f>
        <v>9605</v>
      </c>
      <c r="J202" s="115">
        <f ca="1">IFERROR(BEGMD[[#This Row],[Conceded Score]]/BEGMD[[#This Row],[Total Score]],0%)</f>
        <v>1.050300710770913</v>
      </c>
    </row>
    <row r="203" spans="1:10" x14ac:dyDescent="0.25">
      <c r="A203" s="102" t="str">
        <f>'Registrations'!A173</f>
        <v>Beginner Men's Doubles</v>
      </c>
      <c r="B203" s="108">
        <f>'Registrations'!E173</f>
        <v>0</v>
      </c>
      <c r="C203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203" s="102">
        <f ca="1">BEGMD[[#This Row],[Wins]]*3</f>
        <v>987</v>
      </c>
      <c r="E203" s="102">
        <f ca="1">COUNTIF(Schedules[Team 1 Name], B203) + COUNTIF(Schedules[Team 2 Name], B203)</f>
        <v>756</v>
      </c>
      <c r="F203" s="102">
        <f ca="1">COUNTIFS(Schedules[Team 1 Name], B203, Schedules[Team 1 Outcome], "Win") + COUNTIFS(Schedules[Team 2 Name], B203, Schedules[Team 2 Outcome], "Win")</f>
        <v>329</v>
      </c>
      <c r="G203" s="115">
        <f>IFERROR(OpenSingles[[#This Row],[Wins]]/OpenSingles[[#This Row],[Matches Played]],0%)</f>
        <v>0</v>
      </c>
      <c r="H203" s="102">
        <f ca="1">SUMIFS(Schedules[Team 1 Score],Schedules[Team 1 Name],B203)+SUMIFS(Schedules[Team 2 Score],Schedules[Team 2 Name],B203)</f>
        <v>9145</v>
      </c>
      <c r="I203" s="102">
        <f ca="1">SUMIFS(Schedules[Team 2 Score],Schedules[Team 1 Name],B203)+SUMIFS(Schedules[Team 1 Score],Schedules[Team 2 Name],B203)</f>
        <v>9605</v>
      </c>
      <c r="J203" s="115">
        <f ca="1">IFERROR(BEGMD[[#This Row],[Conceded Score]]/BEGMD[[#This Row],[Total Score]],0%)</f>
        <v>1.050300710770913</v>
      </c>
    </row>
    <row r="204" spans="1:10" x14ac:dyDescent="0.25">
      <c r="A204" s="102" t="str">
        <f>'Registrations'!A174</f>
        <v>Beginner Men's Doubles</v>
      </c>
      <c r="B204" s="108">
        <f>'Registrations'!E174</f>
        <v>0</v>
      </c>
      <c r="C204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204" s="102">
        <f ca="1">BEGMD[[#This Row],[Wins]]*3</f>
        <v>987</v>
      </c>
      <c r="E204" s="102">
        <f ca="1">COUNTIF(Schedules[Team 1 Name], B204) + COUNTIF(Schedules[Team 2 Name], B204)</f>
        <v>756</v>
      </c>
      <c r="F204" s="102">
        <f ca="1">COUNTIFS(Schedules[Team 1 Name], B204, Schedules[Team 1 Outcome], "Win") + COUNTIFS(Schedules[Team 2 Name], B204, Schedules[Team 2 Outcome], "Win")</f>
        <v>329</v>
      </c>
      <c r="G204" s="115">
        <f>IFERROR(OpenSingles[[#This Row],[Wins]]/OpenSingles[[#This Row],[Matches Played]],0%)</f>
        <v>0</v>
      </c>
      <c r="H204" s="102">
        <f ca="1">SUMIFS(Schedules[Team 1 Score],Schedules[Team 1 Name],B204)+SUMIFS(Schedules[Team 2 Score],Schedules[Team 2 Name],B204)</f>
        <v>9145</v>
      </c>
      <c r="I204" s="102">
        <f ca="1">SUMIFS(Schedules[Team 2 Score],Schedules[Team 1 Name],B204)+SUMIFS(Schedules[Team 1 Score],Schedules[Team 2 Name],B204)</f>
        <v>9605</v>
      </c>
      <c r="J204" s="115">
        <f ca="1">IFERROR(BEGMD[[#This Row],[Conceded Score]]/BEGMD[[#This Row],[Total Score]],0%)</f>
        <v>1.050300710770913</v>
      </c>
    </row>
    <row r="205" spans="1:10" x14ac:dyDescent="0.25">
      <c r="A205" s="102" t="str">
        <f>'Registrations'!A175</f>
        <v>Beginner Men's Doubles</v>
      </c>
      <c r="B205" s="108">
        <f>'Registrations'!E175</f>
        <v>0</v>
      </c>
      <c r="C205" s="102">
        <f ca="1">_xlfn.RANK.EQ(BEGMD[[#This Row],[Points]],BEGMD[Points],0)+COUNTIFS(BEGMD[Points],BEGMD[[#This Row],[Points]],BEGMD[Concession ratio %],"&lt;"&amp;BEGMD[[#This Row],[Concession ratio %]])+COUNTIFS(BEGMD[Points],BEGMD[[#This Row],[Points]],BEGMD[Concession ratio %],BEGMD[[#This Row],[Concession ratio %]],BEGMD[Teams],"&lt;"&amp;BEGMD[[#This Row],[Teams]])</f>
        <v>1</v>
      </c>
      <c r="D205" s="102">
        <f ca="1">BEGMD[[#This Row],[Wins]]*3</f>
        <v>987</v>
      </c>
      <c r="E205" s="102">
        <f ca="1">COUNTIF(Schedules[Team 1 Name], B205) + COUNTIF(Schedules[Team 2 Name], B205)</f>
        <v>756</v>
      </c>
      <c r="F205" s="102">
        <f ca="1">COUNTIFS(Schedules[Team 1 Name], B205, Schedules[Team 1 Outcome], "Win") + COUNTIFS(Schedules[Team 2 Name], B205, Schedules[Team 2 Outcome], "Win")</f>
        <v>329</v>
      </c>
      <c r="G205" s="115">
        <f>IFERROR(OpenSingles[[#This Row],[Wins]]/OpenSingles[[#This Row],[Matches Played]],0%)</f>
        <v>0</v>
      </c>
      <c r="H205" s="102">
        <f ca="1">SUMIFS(Schedules[Team 1 Score],Schedules[Team 1 Name],B205)+SUMIFS(Schedules[Team 2 Score],Schedules[Team 2 Name],B205)</f>
        <v>9145</v>
      </c>
      <c r="I205" s="102">
        <f ca="1">SUMIFS(Schedules[Team 2 Score],Schedules[Team 1 Name],B205)+SUMIFS(Schedules[Team 1 Score],Schedules[Team 2 Name],B205)</f>
        <v>9605</v>
      </c>
      <c r="J205" s="115">
        <f ca="1">IFERROR(BEGMD[[#This Row],[Conceded Score]]/BEGMD[[#This Row],[Total Score]],0%)</f>
        <v>1.050300710770913</v>
      </c>
    </row>
    <row r="206" spans="1:10" x14ac:dyDescent="0.25">
      <c r="B206" s="108"/>
      <c r="G206" s="115"/>
      <c r="J206" s="115"/>
    </row>
    <row r="207" spans="1:10" ht="11" thickBot="1" x14ac:dyDescent="0.3">
      <c r="B207" s="108"/>
      <c r="G207" s="115"/>
      <c r="J207" s="115"/>
    </row>
    <row r="208" spans="1:10" x14ac:dyDescent="0.25">
      <c r="A208" s="122" t="s">
        <v>498</v>
      </c>
      <c r="B208" s="123"/>
      <c r="C208" s="123"/>
      <c r="D208" s="123"/>
      <c r="E208" s="123"/>
      <c r="F208" s="123"/>
      <c r="G208" s="123"/>
      <c r="H208" s="123"/>
      <c r="I208" s="123"/>
      <c r="J208" s="124"/>
    </row>
    <row r="209" spans="1:10" x14ac:dyDescent="0.25">
      <c r="A209" s="125"/>
      <c r="B209" s="126"/>
      <c r="C209" s="126"/>
      <c r="D209" s="126"/>
      <c r="E209" s="126"/>
      <c r="F209" s="126"/>
      <c r="G209" s="126"/>
      <c r="H209" s="126"/>
      <c r="I209" s="126"/>
      <c r="J209" s="127"/>
    </row>
    <row r="210" spans="1:10" ht="11" thickBot="1" x14ac:dyDescent="0.3">
      <c r="A210" s="116" t="s">
        <v>10</v>
      </c>
      <c r="B210" s="116" t="s">
        <v>70</v>
      </c>
      <c r="C210" s="116" t="s">
        <v>484</v>
      </c>
      <c r="D210" s="116" t="s">
        <v>485</v>
      </c>
      <c r="E210" s="116" t="s">
        <v>486</v>
      </c>
      <c r="F210" s="116" t="s">
        <v>487</v>
      </c>
      <c r="G210" s="116" t="s">
        <v>488</v>
      </c>
      <c r="H210" s="116" t="s">
        <v>489</v>
      </c>
      <c r="I210" s="116" t="s">
        <v>490</v>
      </c>
      <c r="J210" s="107" t="s">
        <v>491</v>
      </c>
    </row>
    <row r="211" spans="1:10" ht="11" thickTop="1" x14ac:dyDescent="0.25">
      <c r="A211" s="102" t="str">
        <f>'Registrations'!A176</f>
        <v>Beginner Mx Doubles</v>
      </c>
      <c r="B211" s="108" t="str">
        <f>'Registrations'!E176</f>
        <v>Sachin Verma / Hema Thakkar</v>
      </c>
      <c r="C211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24</v>
      </c>
      <c r="D211" s="102">
        <f ca="1">BEGMXD[[#This Row],[Wins]]*3</f>
        <v>0</v>
      </c>
      <c r="E211" s="102">
        <f ca="1">COUNTIF(Schedules[Team 1 Name], B211) + COUNTIF(Schedules[Team 2 Name], B211)</f>
        <v>0</v>
      </c>
      <c r="F211" s="102">
        <f ca="1">COUNTIFS(Schedules[Team 1 Name], B211, Schedules[Team 1 Outcome], "Win") + COUNTIFS(Schedules[Team 2 Name], B211, Schedules[Team 2 Outcome], "Win")</f>
        <v>0</v>
      </c>
      <c r="G211" s="115">
        <f>IFERROR(OpenSingles[[#This Row],[Wins]]/OpenSingles[[#This Row],[Matches Played]],0%)</f>
        <v>0</v>
      </c>
      <c r="H211" s="102">
        <f ca="1">SUMIFS(Schedules[Team 1 Score],Schedules[Team 1 Name],B211)+SUMIFS(Schedules[Team 2 Score],Schedules[Team 2 Name],B211)</f>
        <v>0</v>
      </c>
      <c r="I211" s="102">
        <f ca="1">SUMIFS(Schedules[Team 2 Score],Schedules[Team 1 Name],B211)+SUMIFS(Schedules[Team 1 Score],Schedules[Team 2 Name],B211)</f>
        <v>0</v>
      </c>
      <c r="J211" s="115">
        <f ca="1">IFERROR(BEGMXD[[#This Row],[Conceded Score]]/BEGMXD[[#This Row],[Total Score]],0%)</f>
        <v>0</v>
      </c>
    </row>
    <row r="212" spans="1:10" x14ac:dyDescent="0.25">
      <c r="A212" s="102" t="str">
        <f>'Registrations'!A177</f>
        <v>Beginner Mx Doubles</v>
      </c>
      <c r="B212" s="108" t="str">
        <f>'Registrations'!E177</f>
        <v>Amandeep Saini / Alisha Bhise</v>
      </c>
      <c r="C212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22</v>
      </c>
      <c r="D212" s="102">
        <f ca="1">BEGMXD[[#This Row],[Wins]]*3</f>
        <v>0</v>
      </c>
      <c r="E212" s="102">
        <f ca="1">COUNTIF(Schedules[Team 1 Name], B212) + COUNTIF(Schedules[Team 2 Name], B212)</f>
        <v>0</v>
      </c>
      <c r="F212" s="102">
        <f ca="1">COUNTIFS(Schedules[Team 1 Name], B212, Schedules[Team 1 Outcome], "Win") + COUNTIFS(Schedules[Team 2 Name], B212, Schedules[Team 2 Outcome], "Win")</f>
        <v>0</v>
      </c>
      <c r="G212" s="115">
        <f>IFERROR(OpenSingles[[#This Row],[Wins]]/OpenSingles[[#This Row],[Matches Played]],0%)</f>
        <v>0</v>
      </c>
      <c r="H212" s="102">
        <f ca="1">SUMIFS(Schedules[Team 1 Score],Schedules[Team 1 Name],B212)+SUMIFS(Schedules[Team 2 Score],Schedules[Team 2 Name],B212)</f>
        <v>0</v>
      </c>
      <c r="I212" s="102">
        <f ca="1">SUMIFS(Schedules[Team 2 Score],Schedules[Team 1 Name],B212)+SUMIFS(Schedules[Team 1 Score],Schedules[Team 2 Name],B212)</f>
        <v>0</v>
      </c>
      <c r="J212" s="115">
        <f ca="1">IFERROR(BEGMXD[[#This Row],[Conceded Score]]/BEGMXD[[#This Row],[Total Score]],0%)</f>
        <v>0</v>
      </c>
    </row>
    <row r="213" spans="1:10" x14ac:dyDescent="0.25">
      <c r="A213" s="102" t="str">
        <f>'Registrations'!A178</f>
        <v>Beginner Mx Doubles</v>
      </c>
      <c r="B213" s="108" t="str">
        <f>'Registrations'!E178</f>
        <v>Nachiket Gogia / Purva Verma</v>
      </c>
      <c r="C213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23</v>
      </c>
      <c r="D213" s="102">
        <f ca="1">BEGMXD[[#This Row],[Wins]]*3</f>
        <v>0</v>
      </c>
      <c r="E213" s="102">
        <f ca="1">COUNTIF(Schedules[Team 1 Name], B213) + COUNTIF(Schedules[Team 2 Name], B213)</f>
        <v>0</v>
      </c>
      <c r="F213" s="102">
        <f ca="1">COUNTIFS(Schedules[Team 1 Name], B213, Schedules[Team 1 Outcome], "Win") + COUNTIFS(Schedules[Team 2 Name], B213, Schedules[Team 2 Outcome], "Win")</f>
        <v>0</v>
      </c>
      <c r="G213" s="115">
        <f>IFERROR(OpenSingles[[#This Row],[Wins]]/OpenSingles[[#This Row],[Matches Played]],0%)</f>
        <v>0</v>
      </c>
      <c r="H213" s="102">
        <f ca="1">SUMIFS(Schedules[Team 1 Score],Schedules[Team 1 Name],B213)+SUMIFS(Schedules[Team 2 Score],Schedules[Team 2 Name],B213)</f>
        <v>0</v>
      </c>
      <c r="I213" s="102">
        <f ca="1">SUMIFS(Schedules[Team 2 Score],Schedules[Team 1 Name],B213)+SUMIFS(Schedules[Team 1 Score],Schedules[Team 2 Name],B213)</f>
        <v>0</v>
      </c>
      <c r="J213" s="115">
        <f ca="1">IFERROR(BEGMXD[[#This Row],[Conceded Score]]/BEGMXD[[#This Row],[Total Score]],0%)</f>
        <v>0</v>
      </c>
    </row>
    <row r="214" spans="1:10" x14ac:dyDescent="0.25">
      <c r="A214" s="102" t="str">
        <f>'Registrations'!A179</f>
        <v>Beginner Mx Doubles</v>
      </c>
      <c r="B214" s="108">
        <f>'Registrations'!E179</f>
        <v>0</v>
      </c>
      <c r="C214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14" s="102">
        <f ca="1">BEGMXD[[#This Row],[Wins]]*3</f>
        <v>987</v>
      </c>
      <c r="E214" s="102">
        <f ca="1">COUNTIF(Schedules[Team 1 Name], B214) + COUNTIF(Schedules[Team 2 Name], B214)</f>
        <v>756</v>
      </c>
      <c r="F214" s="102">
        <f ca="1">COUNTIFS(Schedules[Team 1 Name], B214, Schedules[Team 1 Outcome], "Win") + COUNTIFS(Schedules[Team 2 Name], B214, Schedules[Team 2 Outcome], "Win")</f>
        <v>329</v>
      </c>
      <c r="G214" s="115">
        <f>IFERROR(OpenSingles[[#This Row],[Wins]]/OpenSingles[[#This Row],[Matches Played]],0%)</f>
        <v>0</v>
      </c>
      <c r="H214" s="102">
        <f ca="1">SUMIFS(Schedules[Team 1 Score],Schedules[Team 1 Name],B214)+SUMIFS(Schedules[Team 2 Score],Schedules[Team 2 Name],B214)</f>
        <v>9145</v>
      </c>
      <c r="I214" s="102">
        <f ca="1">SUMIFS(Schedules[Team 2 Score],Schedules[Team 1 Name],B214)+SUMIFS(Schedules[Team 1 Score],Schedules[Team 2 Name],B214)</f>
        <v>9605</v>
      </c>
      <c r="J214" s="115">
        <f ca="1">IFERROR(BEGMXD[[#This Row],[Conceded Score]]/BEGMXD[[#This Row],[Total Score]],0%)</f>
        <v>1.050300710770913</v>
      </c>
    </row>
    <row r="215" spans="1:10" x14ac:dyDescent="0.25">
      <c r="A215" s="102" t="str">
        <f>'Registrations'!A180</f>
        <v>Beginner Mx Doubles</v>
      </c>
      <c r="B215" s="108">
        <f>'Registrations'!E180</f>
        <v>0</v>
      </c>
      <c r="C215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15" s="102">
        <f ca="1">BEGMXD[[#This Row],[Wins]]*3</f>
        <v>987</v>
      </c>
      <c r="E215" s="102">
        <f ca="1">COUNTIF(Schedules[Team 1 Name], B215) + COUNTIF(Schedules[Team 2 Name], B215)</f>
        <v>756</v>
      </c>
      <c r="F215" s="102">
        <f ca="1">COUNTIFS(Schedules[Team 1 Name], B215, Schedules[Team 1 Outcome], "Win") + COUNTIFS(Schedules[Team 2 Name], B215, Schedules[Team 2 Outcome], "Win")</f>
        <v>329</v>
      </c>
      <c r="G215" s="115">
        <f>IFERROR(OpenSingles[[#This Row],[Wins]]/OpenSingles[[#This Row],[Matches Played]],0%)</f>
        <v>0</v>
      </c>
      <c r="H215" s="102">
        <f ca="1">SUMIFS(Schedules[Team 1 Score],Schedules[Team 1 Name],B215)+SUMIFS(Schedules[Team 2 Score],Schedules[Team 2 Name],B215)</f>
        <v>9145</v>
      </c>
      <c r="I215" s="102">
        <f ca="1">SUMIFS(Schedules[Team 2 Score],Schedules[Team 1 Name],B215)+SUMIFS(Schedules[Team 1 Score],Schedules[Team 2 Name],B215)</f>
        <v>9605</v>
      </c>
      <c r="J215" s="115">
        <f ca="1">IFERROR(BEGMXD[[#This Row],[Conceded Score]]/BEGMXD[[#This Row],[Total Score]],0%)</f>
        <v>1.050300710770913</v>
      </c>
    </row>
    <row r="216" spans="1:10" x14ac:dyDescent="0.25">
      <c r="A216" s="102" t="str">
        <f>'Registrations'!A181</f>
        <v>Beginner Mx Doubles</v>
      </c>
      <c r="B216" s="108">
        <f>'Registrations'!E181</f>
        <v>0</v>
      </c>
      <c r="C216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16" s="102">
        <f ca="1">BEGMXD[[#This Row],[Wins]]*3</f>
        <v>987</v>
      </c>
      <c r="E216" s="102">
        <f ca="1">COUNTIF(Schedules[Team 1 Name], B216) + COUNTIF(Schedules[Team 2 Name], B216)</f>
        <v>756</v>
      </c>
      <c r="F216" s="102">
        <f ca="1">COUNTIFS(Schedules[Team 1 Name], B216, Schedules[Team 1 Outcome], "Win") + COUNTIFS(Schedules[Team 2 Name], B216, Schedules[Team 2 Outcome], "Win")</f>
        <v>329</v>
      </c>
      <c r="G216" s="115">
        <f>IFERROR(OpenSingles[[#This Row],[Wins]]/OpenSingles[[#This Row],[Matches Played]],0%)</f>
        <v>0</v>
      </c>
      <c r="H216" s="102">
        <f ca="1">SUMIFS(Schedules[Team 1 Score],Schedules[Team 1 Name],B216)+SUMIFS(Schedules[Team 2 Score],Schedules[Team 2 Name],B216)</f>
        <v>9145</v>
      </c>
      <c r="I216" s="102">
        <f ca="1">SUMIFS(Schedules[Team 2 Score],Schedules[Team 1 Name],B216)+SUMIFS(Schedules[Team 1 Score],Schedules[Team 2 Name],B216)</f>
        <v>9605</v>
      </c>
      <c r="J216" s="115">
        <f ca="1">IFERROR(BEGMXD[[#This Row],[Conceded Score]]/BEGMXD[[#This Row],[Total Score]],0%)</f>
        <v>1.050300710770913</v>
      </c>
    </row>
    <row r="217" spans="1:10" x14ac:dyDescent="0.25">
      <c r="A217" s="102" t="str">
        <f>'Registrations'!A182</f>
        <v>Beginner Mx Doubles</v>
      </c>
      <c r="B217" s="108">
        <f>'Registrations'!E182</f>
        <v>0</v>
      </c>
      <c r="C217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17" s="102">
        <f ca="1">BEGMXD[[#This Row],[Wins]]*3</f>
        <v>987</v>
      </c>
      <c r="E217" s="102">
        <f ca="1">COUNTIF(Schedules[Team 1 Name], B217) + COUNTIF(Schedules[Team 2 Name], B217)</f>
        <v>756</v>
      </c>
      <c r="F217" s="102">
        <f ca="1">COUNTIFS(Schedules[Team 1 Name], B217, Schedules[Team 1 Outcome], "Win") + COUNTIFS(Schedules[Team 2 Name], B217, Schedules[Team 2 Outcome], "Win")</f>
        <v>329</v>
      </c>
      <c r="G217" s="115">
        <f>IFERROR(OpenSingles[[#This Row],[Wins]]/OpenSingles[[#This Row],[Matches Played]],0%)</f>
        <v>0</v>
      </c>
      <c r="H217" s="102">
        <f ca="1">SUMIFS(Schedules[Team 1 Score],Schedules[Team 1 Name],B217)+SUMIFS(Schedules[Team 2 Score],Schedules[Team 2 Name],B217)</f>
        <v>9145</v>
      </c>
      <c r="I217" s="102">
        <f ca="1">SUMIFS(Schedules[Team 2 Score],Schedules[Team 1 Name],B217)+SUMIFS(Schedules[Team 1 Score],Schedules[Team 2 Name],B217)</f>
        <v>9605</v>
      </c>
      <c r="J217" s="115">
        <f ca="1">IFERROR(BEGMXD[[#This Row],[Conceded Score]]/BEGMXD[[#This Row],[Total Score]],0%)</f>
        <v>1.050300710770913</v>
      </c>
    </row>
    <row r="218" spans="1:10" x14ac:dyDescent="0.25">
      <c r="A218" s="102" t="str">
        <f>'Registrations'!A183</f>
        <v>Beginner Mx Doubles</v>
      </c>
      <c r="B218" s="108">
        <f>'Registrations'!E183</f>
        <v>0</v>
      </c>
      <c r="C218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18" s="102">
        <f ca="1">BEGMXD[[#This Row],[Wins]]*3</f>
        <v>987</v>
      </c>
      <c r="E218" s="102">
        <f ca="1">COUNTIF(Schedules[Team 1 Name], B218) + COUNTIF(Schedules[Team 2 Name], B218)</f>
        <v>756</v>
      </c>
      <c r="F218" s="102">
        <f ca="1">COUNTIFS(Schedules[Team 1 Name], B218, Schedules[Team 1 Outcome], "Win") + COUNTIFS(Schedules[Team 2 Name], B218, Schedules[Team 2 Outcome], "Win")</f>
        <v>329</v>
      </c>
      <c r="G218" s="115">
        <f>IFERROR(OpenSingles[[#This Row],[Wins]]/OpenSingles[[#This Row],[Matches Played]],0%)</f>
        <v>0</v>
      </c>
      <c r="H218" s="102">
        <f ca="1">SUMIFS(Schedules[Team 1 Score],Schedules[Team 1 Name],B218)+SUMIFS(Schedules[Team 2 Score],Schedules[Team 2 Name],B218)</f>
        <v>9145</v>
      </c>
      <c r="I218" s="102">
        <f ca="1">SUMIFS(Schedules[Team 2 Score],Schedules[Team 1 Name],B218)+SUMIFS(Schedules[Team 1 Score],Schedules[Team 2 Name],B218)</f>
        <v>9605</v>
      </c>
      <c r="J218" s="115">
        <f ca="1">IFERROR(BEGMXD[[#This Row],[Conceded Score]]/BEGMXD[[#This Row],[Total Score]],0%)</f>
        <v>1.050300710770913</v>
      </c>
    </row>
    <row r="219" spans="1:10" x14ac:dyDescent="0.25">
      <c r="A219" s="102" t="str">
        <f>'Registrations'!A184</f>
        <v>Beginner Mx Doubles</v>
      </c>
      <c r="B219" s="108">
        <f>'Registrations'!E184</f>
        <v>0</v>
      </c>
      <c r="C219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19" s="102">
        <f ca="1">BEGMXD[[#This Row],[Wins]]*3</f>
        <v>987</v>
      </c>
      <c r="E219" s="102">
        <f ca="1">COUNTIF(Schedules[Team 1 Name], B219) + COUNTIF(Schedules[Team 2 Name], B219)</f>
        <v>756</v>
      </c>
      <c r="F219" s="102">
        <f ca="1">COUNTIFS(Schedules[Team 1 Name], B219, Schedules[Team 1 Outcome], "Win") + COUNTIFS(Schedules[Team 2 Name], B219, Schedules[Team 2 Outcome], "Win")</f>
        <v>329</v>
      </c>
      <c r="G219" s="115">
        <f>IFERROR(OpenSingles[[#This Row],[Wins]]/OpenSingles[[#This Row],[Matches Played]],0%)</f>
        <v>0</v>
      </c>
      <c r="H219" s="102">
        <f ca="1">SUMIFS(Schedules[Team 1 Score],Schedules[Team 1 Name],B219)+SUMIFS(Schedules[Team 2 Score],Schedules[Team 2 Name],B219)</f>
        <v>9145</v>
      </c>
      <c r="I219" s="102">
        <f ca="1">SUMIFS(Schedules[Team 2 Score],Schedules[Team 1 Name],B219)+SUMIFS(Schedules[Team 1 Score],Schedules[Team 2 Name],B219)</f>
        <v>9605</v>
      </c>
      <c r="J219" s="115">
        <f ca="1">IFERROR(BEGMXD[[#This Row],[Conceded Score]]/BEGMXD[[#This Row],[Total Score]],0%)</f>
        <v>1.050300710770913</v>
      </c>
    </row>
    <row r="220" spans="1:10" x14ac:dyDescent="0.25">
      <c r="A220" s="102" t="str">
        <f>'Registrations'!A185</f>
        <v>Beginner Mx Doubles</v>
      </c>
      <c r="B220" s="108">
        <f>'Registrations'!E185</f>
        <v>0</v>
      </c>
      <c r="C220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0" s="102">
        <f ca="1">BEGMXD[[#This Row],[Wins]]*3</f>
        <v>987</v>
      </c>
      <c r="E220" s="102">
        <f ca="1">COUNTIF(Schedules[Team 1 Name], B220) + COUNTIF(Schedules[Team 2 Name], B220)</f>
        <v>756</v>
      </c>
      <c r="F220" s="102">
        <f ca="1">COUNTIFS(Schedules[Team 1 Name], B220, Schedules[Team 1 Outcome], "Win") + COUNTIFS(Schedules[Team 2 Name], B220, Schedules[Team 2 Outcome], "Win")</f>
        <v>329</v>
      </c>
      <c r="G220" s="115">
        <f>IFERROR(OpenSingles[[#This Row],[Wins]]/OpenSingles[[#This Row],[Matches Played]],0%)</f>
        <v>0</v>
      </c>
      <c r="H220" s="102">
        <f ca="1">SUMIFS(Schedules[Team 1 Score],Schedules[Team 1 Name],B220)+SUMIFS(Schedules[Team 2 Score],Schedules[Team 2 Name],B220)</f>
        <v>9145</v>
      </c>
      <c r="I220" s="102">
        <f ca="1">SUMIFS(Schedules[Team 2 Score],Schedules[Team 1 Name],B220)+SUMIFS(Schedules[Team 1 Score],Schedules[Team 2 Name],B220)</f>
        <v>9605</v>
      </c>
      <c r="J220" s="115">
        <f ca="1">IFERROR(BEGMXD[[#This Row],[Conceded Score]]/BEGMXD[[#This Row],[Total Score]],0%)</f>
        <v>1.050300710770913</v>
      </c>
    </row>
    <row r="221" spans="1:10" x14ac:dyDescent="0.25">
      <c r="A221" s="102" t="str">
        <f>'Registrations'!A186</f>
        <v>Beginner Mx Doubles</v>
      </c>
      <c r="B221" s="108">
        <f>'Registrations'!E186</f>
        <v>0</v>
      </c>
      <c r="C221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1" s="102">
        <f ca="1">BEGMXD[[#This Row],[Wins]]*3</f>
        <v>987</v>
      </c>
      <c r="E221" s="102">
        <f ca="1">COUNTIF(Schedules[Team 1 Name], B221) + COUNTIF(Schedules[Team 2 Name], B221)</f>
        <v>756</v>
      </c>
      <c r="F221" s="102">
        <f ca="1">COUNTIFS(Schedules[Team 1 Name], B221, Schedules[Team 1 Outcome], "Win") + COUNTIFS(Schedules[Team 2 Name], B221, Schedules[Team 2 Outcome], "Win")</f>
        <v>329</v>
      </c>
      <c r="G221" s="115">
        <f>IFERROR(OpenSingles[[#This Row],[Wins]]/OpenSingles[[#This Row],[Matches Played]],0%)</f>
        <v>0</v>
      </c>
      <c r="H221" s="102">
        <f ca="1">SUMIFS(Schedules[Team 1 Score],Schedules[Team 1 Name],B221)+SUMIFS(Schedules[Team 2 Score],Schedules[Team 2 Name],B221)</f>
        <v>9145</v>
      </c>
      <c r="I221" s="102">
        <f ca="1">SUMIFS(Schedules[Team 2 Score],Schedules[Team 1 Name],B221)+SUMIFS(Schedules[Team 1 Score],Schedules[Team 2 Name],B221)</f>
        <v>9605</v>
      </c>
      <c r="J221" s="115">
        <f ca="1">IFERROR(BEGMXD[[#This Row],[Conceded Score]]/BEGMXD[[#This Row],[Total Score]],0%)</f>
        <v>1.050300710770913</v>
      </c>
    </row>
    <row r="222" spans="1:10" x14ac:dyDescent="0.25">
      <c r="A222" s="102" t="str">
        <f>'Registrations'!A187</f>
        <v>Beginner Mx Doubles</v>
      </c>
      <c r="B222" s="108">
        <f>'Registrations'!E187</f>
        <v>0</v>
      </c>
      <c r="C222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2" s="102">
        <f ca="1">BEGMXD[[#This Row],[Wins]]*3</f>
        <v>987</v>
      </c>
      <c r="E222" s="102">
        <f ca="1">COUNTIF(Schedules[Team 1 Name], B222) + COUNTIF(Schedules[Team 2 Name], B222)</f>
        <v>756</v>
      </c>
      <c r="F222" s="102">
        <f ca="1">COUNTIFS(Schedules[Team 1 Name], B222, Schedules[Team 1 Outcome], "Win") + COUNTIFS(Schedules[Team 2 Name], B222, Schedules[Team 2 Outcome], "Win")</f>
        <v>329</v>
      </c>
      <c r="G222" s="115">
        <f>IFERROR(OpenSingles[[#This Row],[Wins]]/OpenSingles[[#This Row],[Matches Played]],0%)</f>
        <v>0</v>
      </c>
      <c r="H222" s="102">
        <f ca="1">SUMIFS(Schedules[Team 1 Score],Schedules[Team 1 Name],B222)+SUMIFS(Schedules[Team 2 Score],Schedules[Team 2 Name],B222)</f>
        <v>9145</v>
      </c>
      <c r="I222" s="102">
        <f ca="1">SUMIFS(Schedules[Team 2 Score],Schedules[Team 1 Name],B222)+SUMIFS(Schedules[Team 1 Score],Schedules[Team 2 Name],B222)</f>
        <v>9605</v>
      </c>
      <c r="J222" s="115">
        <f ca="1">IFERROR(BEGMXD[[#This Row],[Conceded Score]]/BEGMXD[[#This Row],[Total Score]],0%)</f>
        <v>1.050300710770913</v>
      </c>
    </row>
    <row r="223" spans="1:10" x14ac:dyDescent="0.25">
      <c r="A223" s="102" t="str">
        <f>'Registrations'!A188</f>
        <v>Beginner Mx Doubles</v>
      </c>
      <c r="B223" s="108">
        <f>'Registrations'!E188</f>
        <v>0</v>
      </c>
      <c r="C223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3" s="102">
        <f ca="1">BEGMXD[[#This Row],[Wins]]*3</f>
        <v>987</v>
      </c>
      <c r="E223" s="102">
        <f ca="1">COUNTIF(Schedules[Team 1 Name], B223) + COUNTIF(Schedules[Team 2 Name], B223)</f>
        <v>756</v>
      </c>
      <c r="F223" s="102">
        <f ca="1">COUNTIFS(Schedules[Team 1 Name], B223, Schedules[Team 1 Outcome], "Win") + COUNTIFS(Schedules[Team 2 Name], B223, Schedules[Team 2 Outcome], "Win")</f>
        <v>329</v>
      </c>
      <c r="G223" s="115">
        <f>IFERROR(OpenSingles[[#This Row],[Wins]]/OpenSingles[[#This Row],[Matches Played]],0%)</f>
        <v>0</v>
      </c>
      <c r="H223" s="102">
        <f ca="1">SUMIFS(Schedules[Team 1 Score],Schedules[Team 1 Name],B223)+SUMIFS(Schedules[Team 2 Score],Schedules[Team 2 Name],B223)</f>
        <v>9145</v>
      </c>
      <c r="I223" s="102">
        <f ca="1">SUMIFS(Schedules[Team 2 Score],Schedules[Team 1 Name],B223)+SUMIFS(Schedules[Team 1 Score],Schedules[Team 2 Name],B223)</f>
        <v>9605</v>
      </c>
      <c r="J223" s="115">
        <f ca="1">IFERROR(BEGMXD[[#This Row],[Conceded Score]]/BEGMXD[[#This Row],[Total Score]],0%)</f>
        <v>1.050300710770913</v>
      </c>
    </row>
    <row r="224" spans="1:10" x14ac:dyDescent="0.25">
      <c r="A224" s="102" t="str">
        <f>'Registrations'!A189</f>
        <v>Beginner Mx Doubles</v>
      </c>
      <c r="B224" s="108">
        <f>'Registrations'!E189</f>
        <v>0</v>
      </c>
      <c r="C224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4" s="102">
        <f ca="1">BEGMXD[[#This Row],[Wins]]*3</f>
        <v>987</v>
      </c>
      <c r="E224" s="102">
        <f ca="1">COUNTIF(Schedules[Team 1 Name], B224) + COUNTIF(Schedules[Team 2 Name], B224)</f>
        <v>756</v>
      </c>
      <c r="F224" s="102">
        <f ca="1">COUNTIFS(Schedules[Team 1 Name], B224, Schedules[Team 1 Outcome], "Win") + COUNTIFS(Schedules[Team 2 Name], B224, Schedules[Team 2 Outcome], "Win")</f>
        <v>329</v>
      </c>
      <c r="G224" s="115">
        <f>IFERROR(OpenSingles[[#This Row],[Wins]]/OpenSingles[[#This Row],[Matches Played]],0%)</f>
        <v>0</v>
      </c>
      <c r="H224" s="102">
        <f ca="1">SUMIFS(Schedules[Team 1 Score],Schedules[Team 1 Name],B224)+SUMIFS(Schedules[Team 2 Score],Schedules[Team 2 Name],B224)</f>
        <v>9145</v>
      </c>
      <c r="I224" s="102">
        <f ca="1">SUMIFS(Schedules[Team 2 Score],Schedules[Team 1 Name],B224)+SUMIFS(Schedules[Team 1 Score],Schedules[Team 2 Name],B224)</f>
        <v>9605</v>
      </c>
      <c r="J224" s="115">
        <f ca="1">IFERROR(BEGMXD[[#This Row],[Conceded Score]]/BEGMXD[[#This Row],[Total Score]],0%)</f>
        <v>1.050300710770913</v>
      </c>
    </row>
    <row r="225" spans="1:10" x14ac:dyDescent="0.25">
      <c r="A225" s="102" t="str">
        <f>'Registrations'!A190</f>
        <v>Beginner Mx Doubles</v>
      </c>
      <c r="B225" s="108">
        <f>'Registrations'!E190</f>
        <v>0</v>
      </c>
      <c r="C225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5" s="102">
        <f ca="1">BEGMXD[[#This Row],[Wins]]*3</f>
        <v>987</v>
      </c>
      <c r="E225" s="102">
        <f ca="1">COUNTIF(Schedules[Team 1 Name], B225) + COUNTIF(Schedules[Team 2 Name], B225)</f>
        <v>756</v>
      </c>
      <c r="F225" s="102">
        <f ca="1">COUNTIFS(Schedules[Team 1 Name], B225, Schedules[Team 1 Outcome], "Win") + COUNTIFS(Schedules[Team 2 Name], B225, Schedules[Team 2 Outcome], "Win")</f>
        <v>329</v>
      </c>
      <c r="G225" s="115">
        <f>IFERROR(OpenSingles[[#This Row],[Wins]]/OpenSingles[[#This Row],[Matches Played]],0%)</f>
        <v>0</v>
      </c>
      <c r="H225" s="102">
        <f ca="1">SUMIFS(Schedules[Team 1 Score],Schedules[Team 1 Name],B225)+SUMIFS(Schedules[Team 2 Score],Schedules[Team 2 Name],B225)</f>
        <v>9145</v>
      </c>
      <c r="I225" s="102">
        <f ca="1">SUMIFS(Schedules[Team 2 Score],Schedules[Team 1 Name],B225)+SUMIFS(Schedules[Team 1 Score],Schedules[Team 2 Name],B225)</f>
        <v>9605</v>
      </c>
      <c r="J225" s="115">
        <f ca="1">IFERROR(BEGMXD[[#This Row],[Conceded Score]]/BEGMXD[[#This Row],[Total Score]],0%)</f>
        <v>1.050300710770913</v>
      </c>
    </row>
    <row r="226" spans="1:10" x14ac:dyDescent="0.25">
      <c r="A226" s="102" t="str">
        <f>'Registrations'!A191</f>
        <v>Beginner Mx Doubles</v>
      </c>
      <c r="B226" s="108">
        <f>'Registrations'!E191</f>
        <v>0</v>
      </c>
      <c r="C226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6" s="102">
        <f ca="1">BEGMXD[[#This Row],[Wins]]*3</f>
        <v>987</v>
      </c>
      <c r="E226" s="102">
        <f ca="1">COUNTIF(Schedules[Team 1 Name], B226) + COUNTIF(Schedules[Team 2 Name], B226)</f>
        <v>756</v>
      </c>
      <c r="F226" s="102">
        <f ca="1">COUNTIFS(Schedules[Team 1 Name], B226, Schedules[Team 1 Outcome], "Win") + COUNTIFS(Schedules[Team 2 Name], B226, Schedules[Team 2 Outcome], "Win")</f>
        <v>329</v>
      </c>
      <c r="G226" s="115">
        <f>IFERROR(OpenSingles[[#This Row],[Wins]]/OpenSingles[[#This Row],[Matches Played]],0%)</f>
        <v>0</v>
      </c>
      <c r="H226" s="102">
        <f ca="1">SUMIFS(Schedules[Team 1 Score],Schedules[Team 1 Name],B226)+SUMIFS(Schedules[Team 2 Score],Schedules[Team 2 Name],B226)</f>
        <v>9145</v>
      </c>
      <c r="I226" s="102">
        <f ca="1">SUMIFS(Schedules[Team 2 Score],Schedules[Team 1 Name],B226)+SUMIFS(Schedules[Team 1 Score],Schedules[Team 2 Name],B226)</f>
        <v>9605</v>
      </c>
      <c r="J226" s="115">
        <f ca="1">IFERROR(BEGMXD[[#This Row],[Conceded Score]]/BEGMXD[[#This Row],[Total Score]],0%)</f>
        <v>1.050300710770913</v>
      </c>
    </row>
    <row r="227" spans="1:10" x14ac:dyDescent="0.25">
      <c r="A227" s="102" t="str">
        <f>'Registrations'!A192</f>
        <v>Beginner Mx Doubles</v>
      </c>
      <c r="B227" s="108">
        <f>'Registrations'!E192</f>
        <v>0</v>
      </c>
      <c r="C227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7" s="102">
        <f ca="1">BEGMXD[[#This Row],[Wins]]*3</f>
        <v>987</v>
      </c>
      <c r="E227" s="102">
        <f ca="1">COUNTIF(Schedules[Team 1 Name], B227) + COUNTIF(Schedules[Team 2 Name], B227)</f>
        <v>756</v>
      </c>
      <c r="F227" s="102">
        <f ca="1">COUNTIFS(Schedules[Team 1 Name], B227, Schedules[Team 1 Outcome], "Win") + COUNTIFS(Schedules[Team 2 Name], B227, Schedules[Team 2 Outcome], "Win")</f>
        <v>329</v>
      </c>
      <c r="G227" s="115">
        <f>IFERROR(OpenSingles[[#This Row],[Wins]]/OpenSingles[[#This Row],[Matches Played]],0%)</f>
        <v>0</v>
      </c>
      <c r="H227" s="102">
        <f ca="1">SUMIFS(Schedules[Team 1 Score],Schedules[Team 1 Name],B227)+SUMIFS(Schedules[Team 2 Score],Schedules[Team 2 Name],B227)</f>
        <v>9145</v>
      </c>
      <c r="I227" s="102">
        <f ca="1">SUMIFS(Schedules[Team 2 Score],Schedules[Team 1 Name],B227)+SUMIFS(Schedules[Team 1 Score],Schedules[Team 2 Name],B227)</f>
        <v>9605</v>
      </c>
      <c r="J227" s="115">
        <f ca="1">IFERROR(BEGMXD[[#This Row],[Conceded Score]]/BEGMXD[[#This Row],[Total Score]],0%)</f>
        <v>1.050300710770913</v>
      </c>
    </row>
    <row r="228" spans="1:10" x14ac:dyDescent="0.25">
      <c r="A228" s="102" t="str">
        <f>'Registrations'!A193</f>
        <v>Beginner Mx Doubles</v>
      </c>
      <c r="B228" s="108">
        <f>'Registrations'!E193</f>
        <v>0</v>
      </c>
      <c r="C228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8" s="102">
        <f ca="1">BEGMXD[[#This Row],[Wins]]*3</f>
        <v>987</v>
      </c>
      <c r="E228" s="102">
        <f ca="1">COUNTIF(Schedules[Team 1 Name], B228) + COUNTIF(Schedules[Team 2 Name], B228)</f>
        <v>756</v>
      </c>
      <c r="F228" s="102">
        <f ca="1">COUNTIFS(Schedules[Team 1 Name], B228, Schedules[Team 1 Outcome], "Win") + COUNTIFS(Schedules[Team 2 Name], B228, Schedules[Team 2 Outcome], "Win")</f>
        <v>329</v>
      </c>
      <c r="G228" s="115">
        <f>IFERROR(OpenSingles[[#This Row],[Wins]]/OpenSingles[[#This Row],[Matches Played]],0%)</f>
        <v>0</v>
      </c>
      <c r="H228" s="102">
        <f ca="1">SUMIFS(Schedules[Team 1 Score],Schedules[Team 1 Name],B228)+SUMIFS(Schedules[Team 2 Score],Schedules[Team 2 Name],B228)</f>
        <v>9145</v>
      </c>
      <c r="I228" s="102">
        <f ca="1">SUMIFS(Schedules[Team 2 Score],Schedules[Team 1 Name],B228)+SUMIFS(Schedules[Team 1 Score],Schedules[Team 2 Name],B228)</f>
        <v>9605</v>
      </c>
      <c r="J228" s="115">
        <f ca="1">IFERROR(BEGMXD[[#This Row],[Conceded Score]]/BEGMXD[[#This Row],[Total Score]],0%)</f>
        <v>1.050300710770913</v>
      </c>
    </row>
    <row r="229" spans="1:10" x14ac:dyDescent="0.25">
      <c r="A229" s="102" t="str">
        <f>'Registrations'!A194</f>
        <v>Beginner Mx Doubles</v>
      </c>
      <c r="B229" s="108">
        <f>'Registrations'!E194</f>
        <v>0</v>
      </c>
      <c r="C229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29" s="102">
        <f ca="1">BEGMXD[[#This Row],[Wins]]*3</f>
        <v>987</v>
      </c>
      <c r="E229" s="102">
        <f ca="1">COUNTIF(Schedules[Team 1 Name], B229) + COUNTIF(Schedules[Team 2 Name], B229)</f>
        <v>756</v>
      </c>
      <c r="F229" s="102">
        <f ca="1">COUNTIFS(Schedules[Team 1 Name], B229, Schedules[Team 1 Outcome], "Win") + COUNTIFS(Schedules[Team 2 Name], B229, Schedules[Team 2 Outcome], "Win")</f>
        <v>329</v>
      </c>
      <c r="G229" s="115">
        <f>IFERROR(OpenSingles[[#This Row],[Wins]]/OpenSingles[[#This Row],[Matches Played]],0%)</f>
        <v>0</v>
      </c>
      <c r="H229" s="102">
        <f ca="1">SUMIFS(Schedules[Team 1 Score],Schedules[Team 1 Name],B229)+SUMIFS(Schedules[Team 2 Score],Schedules[Team 2 Name],B229)</f>
        <v>9145</v>
      </c>
      <c r="I229" s="102">
        <f ca="1">SUMIFS(Schedules[Team 2 Score],Schedules[Team 1 Name],B229)+SUMIFS(Schedules[Team 1 Score],Schedules[Team 2 Name],B229)</f>
        <v>9605</v>
      </c>
      <c r="J229" s="115">
        <f ca="1">IFERROR(BEGMXD[[#This Row],[Conceded Score]]/BEGMXD[[#This Row],[Total Score]],0%)</f>
        <v>1.050300710770913</v>
      </c>
    </row>
    <row r="230" spans="1:10" x14ac:dyDescent="0.25">
      <c r="A230" s="102" t="str">
        <f>'Registrations'!A195</f>
        <v>Beginner Mx Doubles</v>
      </c>
      <c r="B230" s="108">
        <f>'Registrations'!E195</f>
        <v>0</v>
      </c>
      <c r="C230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30" s="102">
        <f ca="1">BEGMXD[[#This Row],[Wins]]*3</f>
        <v>987</v>
      </c>
      <c r="E230" s="102">
        <f ca="1">COUNTIF(Schedules[Team 1 Name], B230) + COUNTIF(Schedules[Team 2 Name], B230)</f>
        <v>756</v>
      </c>
      <c r="F230" s="102">
        <f ca="1">COUNTIFS(Schedules[Team 1 Name], B230, Schedules[Team 1 Outcome], "Win") + COUNTIFS(Schedules[Team 2 Name], B230, Schedules[Team 2 Outcome], "Win")</f>
        <v>329</v>
      </c>
      <c r="G230" s="115">
        <f>IFERROR(OpenSingles[[#This Row],[Wins]]/OpenSingles[[#This Row],[Matches Played]],0%)</f>
        <v>0</v>
      </c>
      <c r="H230" s="102">
        <f ca="1">SUMIFS(Schedules[Team 1 Score],Schedules[Team 1 Name],B230)+SUMIFS(Schedules[Team 2 Score],Schedules[Team 2 Name],B230)</f>
        <v>9145</v>
      </c>
      <c r="I230" s="102">
        <f ca="1">SUMIFS(Schedules[Team 2 Score],Schedules[Team 1 Name],B230)+SUMIFS(Schedules[Team 1 Score],Schedules[Team 2 Name],B230)</f>
        <v>9605</v>
      </c>
      <c r="J230" s="115">
        <f ca="1">IFERROR(BEGMXD[[#This Row],[Conceded Score]]/BEGMXD[[#This Row],[Total Score]],0%)</f>
        <v>1.050300710770913</v>
      </c>
    </row>
    <row r="231" spans="1:10" x14ac:dyDescent="0.25">
      <c r="A231" s="102" t="str">
        <f>'Registrations'!A196</f>
        <v>Beginner Mx Doubles</v>
      </c>
      <c r="B231" s="108">
        <f>'Registrations'!E196</f>
        <v>0</v>
      </c>
      <c r="C231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31" s="102">
        <f ca="1">BEGMXD[[#This Row],[Wins]]*3</f>
        <v>987</v>
      </c>
      <c r="E231" s="102">
        <f ca="1">COUNTIF(Schedules[Team 1 Name], B231) + COUNTIF(Schedules[Team 2 Name], B231)</f>
        <v>756</v>
      </c>
      <c r="F231" s="102">
        <f ca="1">COUNTIFS(Schedules[Team 1 Name], B231, Schedules[Team 1 Outcome], "Win") + COUNTIFS(Schedules[Team 2 Name], B231, Schedules[Team 2 Outcome], "Win")</f>
        <v>329</v>
      </c>
      <c r="G231" s="115">
        <f>IFERROR(OpenSingles[[#This Row],[Wins]]/OpenSingles[[#This Row],[Matches Played]],0%)</f>
        <v>0</v>
      </c>
      <c r="H231" s="102">
        <f ca="1">SUMIFS(Schedules[Team 1 Score],Schedules[Team 1 Name],B231)+SUMIFS(Schedules[Team 2 Score],Schedules[Team 2 Name],B231)</f>
        <v>9145</v>
      </c>
      <c r="I231" s="102">
        <f ca="1">SUMIFS(Schedules[Team 2 Score],Schedules[Team 1 Name],B231)+SUMIFS(Schedules[Team 1 Score],Schedules[Team 2 Name],B231)</f>
        <v>9605</v>
      </c>
      <c r="J231" s="115">
        <f ca="1">IFERROR(BEGMXD[[#This Row],[Conceded Score]]/BEGMXD[[#This Row],[Total Score]],0%)</f>
        <v>1.050300710770913</v>
      </c>
    </row>
    <row r="232" spans="1:10" x14ac:dyDescent="0.25">
      <c r="A232" s="102" t="str">
        <f>'Registrations'!A197</f>
        <v>Beginner Mx Doubles</v>
      </c>
      <c r="B232" s="108">
        <f>'Registrations'!E197</f>
        <v>0</v>
      </c>
      <c r="C232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32" s="102">
        <f ca="1">BEGMXD[[#This Row],[Wins]]*3</f>
        <v>987</v>
      </c>
      <c r="E232" s="102">
        <f ca="1">COUNTIF(Schedules[Team 1 Name], B232) + COUNTIF(Schedules[Team 2 Name], B232)</f>
        <v>756</v>
      </c>
      <c r="F232" s="102">
        <f ca="1">COUNTIFS(Schedules[Team 1 Name], B232, Schedules[Team 1 Outcome], "Win") + COUNTIFS(Schedules[Team 2 Name], B232, Schedules[Team 2 Outcome], "Win")</f>
        <v>329</v>
      </c>
      <c r="G232" s="115">
        <f>IFERROR(OpenSingles[[#This Row],[Wins]]/OpenSingles[[#This Row],[Matches Played]],0%)</f>
        <v>0</v>
      </c>
      <c r="H232" s="102">
        <f ca="1">SUMIFS(Schedules[Team 1 Score],Schedules[Team 1 Name],B232)+SUMIFS(Schedules[Team 2 Score],Schedules[Team 2 Name],B232)</f>
        <v>9145</v>
      </c>
      <c r="I232" s="102">
        <f ca="1">SUMIFS(Schedules[Team 2 Score],Schedules[Team 1 Name],B232)+SUMIFS(Schedules[Team 1 Score],Schedules[Team 2 Name],B232)</f>
        <v>9605</v>
      </c>
      <c r="J232" s="115">
        <f ca="1">IFERROR(BEGMXD[[#This Row],[Conceded Score]]/BEGMXD[[#This Row],[Total Score]],0%)</f>
        <v>1.050300710770913</v>
      </c>
    </row>
    <row r="233" spans="1:10" x14ac:dyDescent="0.25">
      <c r="A233" s="102" t="str">
        <f>'Registrations'!A198</f>
        <v>Beginner Mx Doubles</v>
      </c>
      <c r="B233" s="108">
        <f>'Registrations'!E198</f>
        <v>0</v>
      </c>
      <c r="C233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33" s="102">
        <f ca="1">BEGMXD[[#This Row],[Wins]]*3</f>
        <v>987</v>
      </c>
      <c r="E233" s="102">
        <f ca="1">COUNTIF(Schedules[Team 1 Name], B233) + COUNTIF(Schedules[Team 2 Name], B233)</f>
        <v>756</v>
      </c>
      <c r="F233" s="102">
        <f ca="1">COUNTIFS(Schedules[Team 1 Name], B233, Schedules[Team 1 Outcome], "Win") + COUNTIFS(Schedules[Team 2 Name], B233, Schedules[Team 2 Outcome], "Win")</f>
        <v>329</v>
      </c>
      <c r="G233" s="115">
        <f>IFERROR(OpenSingles[[#This Row],[Wins]]/OpenSingles[[#This Row],[Matches Played]],0%)</f>
        <v>0</v>
      </c>
      <c r="H233" s="102">
        <f ca="1">SUMIFS(Schedules[Team 1 Score],Schedules[Team 1 Name],B233)+SUMIFS(Schedules[Team 2 Score],Schedules[Team 2 Name],B233)</f>
        <v>9145</v>
      </c>
      <c r="I233" s="102">
        <f ca="1">SUMIFS(Schedules[Team 2 Score],Schedules[Team 1 Name],B233)+SUMIFS(Schedules[Team 1 Score],Schedules[Team 2 Name],B233)</f>
        <v>9605</v>
      </c>
      <c r="J233" s="115">
        <f ca="1">IFERROR(BEGMXD[[#This Row],[Conceded Score]]/BEGMXD[[#This Row],[Total Score]],0%)</f>
        <v>1.050300710770913</v>
      </c>
    </row>
    <row r="234" spans="1:10" x14ac:dyDescent="0.25">
      <c r="A234" s="102" t="str">
        <f>'Registrations'!A199</f>
        <v>Beginner Mx Doubles</v>
      </c>
      <c r="B234" s="108">
        <f>'Registrations'!E199</f>
        <v>0</v>
      </c>
      <c r="C234" s="102">
        <f ca="1">_xlfn.RANK.EQ(BEGMXD[[#This Row],[Points]],BEGMXD[Points],0)+COUNTIFS(BEGMXD[Points],BEGMXD[[#This Row],[Points]],BEGMXD[Concession ratio %],"&lt;"&amp;BEGMXD[[#This Row],[Concession ratio %]])+COUNTIFS(BEGMXD[Points],BEGMXD[[#This Row],[Points]],BEGMXD[Concession ratio %],BEGMXD[[#This Row],[Concession ratio %]],BEGMXD[Teams],"&lt;"&amp;BEGMXD[[#This Row],[Teams]])</f>
        <v>1</v>
      </c>
      <c r="D234" s="102">
        <f ca="1">BEGMXD[[#This Row],[Wins]]*3</f>
        <v>987</v>
      </c>
      <c r="E234" s="102">
        <f ca="1">COUNTIF(Schedules[Team 1 Name], B234) + COUNTIF(Schedules[Team 2 Name], B234)</f>
        <v>756</v>
      </c>
      <c r="F234" s="102">
        <f ca="1">COUNTIFS(Schedules[Team 1 Name], B234, Schedules[Team 1 Outcome], "Win") + COUNTIFS(Schedules[Team 2 Name], B234, Schedules[Team 2 Outcome], "Win")</f>
        <v>329</v>
      </c>
      <c r="G234" s="115">
        <f>IFERROR(OpenSingles[[#This Row],[Wins]]/OpenSingles[[#This Row],[Matches Played]],0%)</f>
        <v>0</v>
      </c>
      <c r="H234" s="102">
        <f ca="1">SUMIFS(Schedules[Team 1 Score],Schedules[Team 1 Name],B234)+SUMIFS(Schedules[Team 2 Score],Schedules[Team 2 Name],B234)</f>
        <v>9145</v>
      </c>
      <c r="I234" s="102">
        <f ca="1">SUMIFS(Schedules[Team 2 Score],Schedules[Team 1 Name],B234)+SUMIFS(Schedules[Team 1 Score],Schedules[Team 2 Name],B234)</f>
        <v>9605</v>
      </c>
      <c r="J234" s="115">
        <f ca="1">IFERROR(BEGMXD[[#This Row],[Conceded Score]]/BEGMXD[[#This Row],[Total Score]],0%)</f>
        <v>1.050300710770913</v>
      </c>
    </row>
    <row r="235" spans="1:10" x14ac:dyDescent="0.25">
      <c r="B235" s="108"/>
      <c r="G235" s="115"/>
      <c r="J235" s="115"/>
    </row>
    <row r="236" spans="1:10" ht="11" thickBot="1" x14ac:dyDescent="0.3">
      <c r="B236" s="108"/>
      <c r="G236" s="115"/>
      <c r="J236" s="115"/>
    </row>
    <row r="237" spans="1:10" x14ac:dyDescent="0.25">
      <c r="A237" s="122" t="s">
        <v>499</v>
      </c>
      <c r="B237" s="123"/>
      <c r="C237" s="123"/>
      <c r="D237" s="123"/>
      <c r="E237" s="123"/>
      <c r="F237" s="123"/>
      <c r="G237" s="123"/>
      <c r="H237" s="123"/>
      <c r="I237" s="123"/>
      <c r="J237" s="124"/>
    </row>
    <row r="238" spans="1:10" x14ac:dyDescent="0.25">
      <c r="A238" s="125"/>
      <c r="B238" s="126"/>
      <c r="C238" s="126"/>
      <c r="D238" s="126"/>
      <c r="E238" s="126"/>
      <c r="F238" s="126"/>
      <c r="G238" s="126"/>
      <c r="H238" s="126"/>
      <c r="I238" s="126"/>
      <c r="J238" s="127"/>
    </row>
    <row r="239" spans="1:10" ht="11" thickBot="1" x14ac:dyDescent="0.3">
      <c r="A239" s="116" t="s">
        <v>10</v>
      </c>
      <c r="B239" s="116" t="s">
        <v>70</v>
      </c>
      <c r="C239" s="116" t="s">
        <v>484</v>
      </c>
      <c r="D239" s="116" t="s">
        <v>485</v>
      </c>
      <c r="E239" s="116" t="s">
        <v>486</v>
      </c>
      <c r="F239" s="116" t="s">
        <v>487</v>
      </c>
      <c r="G239" s="116" t="s">
        <v>488</v>
      </c>
      <c r="H239" s="116" t="s">
        <v>489</v>
      </c>
      <c r="I239" s="116" t="s">
        <v>490</v>
      </c>
      <c r="J239" s="107" t="s">
        <v>491</v>
      </c>
    </row>
    <row r="240" spans="1:10" ht="11" thickTop="1" x14ac:dyDescent="0.25">
      <c r="A240" s="102" t="str">
        <f>'Registrations'!A200</f>
        <v>Open Women's Doubles</v>
      </c>
      <c r="B240" s="108">
        <f>'Registrations'!E200</f>
        <v>0</v>
      </c>
      <c r="C240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0" s="102">
        <f ca="1">OPENWD[[#This Row],[Wins]]*3</f>
        <v>987</v>
      </c>
      <c r="E240" s="102">
        <f ca="1">COUNTIF(Schedules[Team 1 Name], B240) + COUNTIF(Schedules[Team 2 Name], B240)</f>
        <v>756</v>
      </c>
      <c r="F240" s="102">
        <f ca="1">COUNTIFS(Schedules[Team 1 Name], B240, Schedules[Team 1 Outcome], "Win") + COUNTIFS(Schedules[Team 2 Name], B240, Schedules[Team 2 Outcome], "Win")</f>
        <v>329</v>
      </c>
      <c r="G240" s="115">
        <f>IFERROR(OpenSingles[[#This Row],[Wins]]/OpenSingles[[#This Row],[Matches Played]],0%)</f>
        <v>0</v>
      </c>
      <c r="H240" s="102">
        <f ca="1">SUMIFS(Schedules[Team 1 Score],Schedules[Team 1 Name],B240)+SUMIFS(Schedules[Team 2 Score],Schedules[Team 2 Name],B240)</f>
        <v>9145</v>
      </c>
      <c r="I240" s="102">
        <f ca="1">SUMIFS(Schedules[Team 2 Score],Schedules[Team 1 Name],B240)+SUMIFS(Schedules[Team 1 Score],Schedules[Team 2 Name],B240)</f>
        <v>9605</v>
      </c>
      <c r="J240" s="115">
        <f ca="1">IFERROR(OPENWD[[#This Row],[Conceded Score]]/OPENWD[[#This Row],[Total Score]],0%)</f>
        <v>1.050300710770913</v>
      </c>
    </row>
    <row r="241" spans="1:10" x14ac:dyDescent="0.25">
      <c r="A241" s="102" t="str">
        <f>'Registrations'!A201</f>
        <v>Open Women's Doubles</v>
      </c>
      <c r="B241" s="108">
        <f>'Registrations'!E201</f>
        <v>0</v>
      </c>
      <c r="C241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1" s="102">
        <f ca="1">OPENWD[[#This Row],[Wins]]*3</f>
        <v>987</v>
      </c>
      <c r="E241" s="102">
        <f ca="1">COUNTIF(Schedules[Team 1 Name], B241) + COUNTIF(Schedules[Team 2 Name], B241)</f>
        <v>756</v>
      </c>
      <c r="F241" s="102">
        <f ca="1">COUNTIFS(Schedules[Team 1 Name], B241, Schedules[Team 1 Outcome], "Win") + COUNTIFS(Schedules[Team 2 Name], B241, Schedules[Team 2 Outcome], "Win")</f>
        <v>329</v>
      </c>
      <c r="G241" s="115">
        <f>IFERROR(OpenSingles[[#This Row],[Wins]]/OpenSingles[[#This Row],[Matches Played]],0%)</f>
        <v>0</v>
      </c>
      <c r="H241" s="102">
        <f ca="1">SUMIFS(Schedules[Team 1 Score],Schedules[Team 1 Name],B241)+SUMIFS(Schedules[Team 2 Score],Schedules[Team 2 Name],B241)</f>
        <v>9145</v>
      </c>
      <c r="I241" s="102">
        <f ca="1">SUMIFS(Schedules[Team 2 Score],Schedules[Team 1 Name],B241)+SUMIFS(Schedules[Team 1 Score],Schedules[Team 2 Name],B241)</f>
        <v>9605</v>
      </c>
      <c r="J241" s="115">
        <f ca="1">IFERROR(OPENWD[[#This Row],[Conceded Score]]/OPENWD[[#This Row],[Total Score]],0%)</f>
        <v>1.050300710770913</v>
      </c>
    </row>
    <row r="242" spans="1:10" x14ac:dyDescent="0.25">
      <c r="A242" s="102" t="str">
        <f>'Registrations'!A202</f>
        <v>Open Women's Doubles</v>
      </c>
      <c r="B242" s="108">
        <f>'Registrations'!E202</f>
        <v>0</v>
      </c>
      <c r="C242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2" s="102">
        <f ca="1">OPENWD[[#This Row],[Wins]]*3</f>
        <v>987</v>
      </c>
      <c r="E242" s="102">
        <f ca="1">COUNTIF(Schedules[Team 1 Name], B242) + COUNTIF(Schedules[Team 2 Name], B242)</f>
        <v>756</v>
      </c>
      <c r="F242" s="102">
        <f ca="1">COUNTIFS(Schedules[Team 1 Name], B242, Schedules[Team 1 Outcome], "Win") + COUNTIFS(Schedules[Team 2 Name], B242, Schedules[Team 2 Outcome], "Win")</f>
        <v>329</v>
      </c>
      <c r="G242" s="115">
        <f>IFERROR(OpenSingles[[#This Row],[Wins]]/OpenSingles[[#This Row],[Matches Played]],0%)</f>
        <v>0</v>
      </c>
      <c r="H242" s="102">
        <f ca="1">SUMIFS(Schedules[Team 1 Score],Schedules[Team 1 Name],B242)+SUMIFS(Schedules[Team 2 Score],Schedules[Team 2 Name],B242)</f>
        <v>9145</v>
      </c>
      <c r="I242" s="102">
        <f ca="1">SUMIFS(Schedules[Team 2 Score],Schedules[Team 1 Name],B242)+SUMIFS(Schedules[Team 1 Score],Schedules[Team 2 Name],B242)</f>
        <v>9605</v>
      </c>
      <c r="J242" s="115">
        <f ca="1">IFERROR(OPENWD[[#This Row],[Conceded Score]]/OPENWD[[#This Row],[Total Score]],0%)</f>
        <v>1.050300710770913</v>
      </c>
    </row>
    <row r="243" spans="1:10" x14ac:dyDescent="0.25">
      <c r="A243" s="102" t="str">
        <f>'Registrations'!A203</f>
        <v>Open Women's Doubles</v>
      </c>
      <c r="B243" s="108">
        <f>'Registrations'!E203</f>
        <v>0</v>
      </c>
      <c r="C243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3" s="102">
        <f ca="1">OPENWD[[#This Row],[Wins]]*3</f>
        <v>987</v>
      </c>
      <c r="E243" s="102">
        <f ca="1">COUNTIF(Schedules[Team 1 Name], B243) + COUNTIF(Schedules[Team 2 Name], B243)</f>
        <v>756</v>
      </c>
      <c r="F243" s="102">
        <f ca="1">COUNTIFS(Schedules[Team 1 Name], B243, Schedules[Team 1 Outcome], "Win") + COUNTIFS(Schedules[Team 2 Name], B243, Schedules[Team 2 Outcome], "Win")</f>
        <v>329</v>
      </c>
      <c r="G243" s="115">
        <f>IFERROR(OpenSingles[[#This Row],[Wins]]/OpenSingles[[#This Row],[Matches Played]],0%)</f>
        <v>0</v>
      </c>
      <c r="H243" s="102">
        <f ca="1">SUMIFS(Schedules[Team 1 Score],Schedules[Team 1 Name],B243)+SUMIFS(Schedules[Team 2 Score],Schedules[Team 2 Name],B243)</f>
        <v>9145</v>
      </c>
      <c r="I243" s="102">
        <f ca="1">SUMIFS(Schedules[Team 2 Score],Schedules[Team 1 Name],B243)+SUMIFS(Schedules[Team 1 Score],Schedules[Team 2 Name],B243)</f>
        <v>9605</v>
      </c>
      <c r="J243" s="115">
        <f ca="1">IFERROR(OPENWD[[#This Row],[Conceded Score]]/OPENWD[[#This Row],[Total Score]],0%)</f>
        <v>1.050300710770913</v>
      </c>
    </row>
    <row r="244" spans="1:10" x14ac:dyDescent="0.25">
      <c r="A244" s="102" t="str">
        <f>'Registrations'!A204</f>
        <v>Open Women's Doubles</v>
      </c>
      <c r="B244" s="108">
        <f>'Registrations'!E204</f>
        <v>0</v>
      </c>
      <c r="C244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4" s="102">
        <f ca="1">OPENWD[[#This Row],[Wins]]*3</f>
        <v>987</v>
      </c>
      <c r="E244" s="102">
        <f ca="1">COUNTIF(Schedules[Team 1 Name], B244) + COUNTIF(Schedules[Team 2 Name], B244)</f>
        <v>756</v>
      </c>
      <c r="F244" s="102">
        <f ca="1">COUNTIFS(Schedules[Team 1 Name], B244, Schedules[Team 1 Outcome], "Win") + COUNTIFS(Schedules[Team 2 Name], B244, Schedules[Team 2 Outcome], "Win")</f>
        <v>329</v>
      </c>
      <c r="G244" s="115">
        <f>IFERROR(OpenSingles[[#This Row],[Wins]]/OpenSingles[[#This Row],[Matches Played]],0%)</f>
        <v>0</v>
      </c>
      <c r="H244" s="102">
        <f ca="1">SUMIFS(Schedules[Team 1 Score],Schedules[Team 1 Name],B244)+SUMIFS(Schedules[Team 2 Score],Schedules[Team 2 Name],B244)</f>
        <v>9145</v>
      </c>
      <c r="I244" s="102">
        <f ca="1">SUMIFS(Schedules[Team 2 Score],Schedules[Team 1 Name],B244)+SUMIFS(Schedules[Team 1 Score],Schedules[Team 2 Name],B244)</f>
        <v>9605</v>
      </c>
      <c r="J244" s="115">
        <f ca="1">IFERROR(OPENWD[[#This Row],[Conceded Score]]/OPENWD[[#This Row],[Total Score]],0%)</f>
        <v>1.050300710770913</v>
      </c>
    </row>
    <row r="245" spans="1:10" x14ac:dyDescent="0.25">
      <c r="A245" s="102" t="str">
        <f>'Registrations'!A205</f>
        <v>Open Women's Doubles</v>
      </c>
      <c r="B245" s="108">
        <f>'Registrations'!E205</f>
        <v>0</v>
      </c>
      <c r="C245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5" s="102">
        <f ca="1">OPENWD[[#This Row],[Wins]]*3</f>
        <v>987</v>
      </c>
      <c r="E245" s="102">
        <f ca="1">COUNTIF(Schedules[Team 1 Name], B245) + COUNTIF(Schedules[Team 2 Name], B245)</f>
        <v>756</v>
      </c>
      <c r="F245" s="102">
        <f ca="1">COUNTIFS(Schedules[Team 1 Name], B245, Schedules[Team 1 Outcome], "Win") + COUNTIFS(Schedules[Team 2 Name], B245, Schedules[Team 2 Outcome], "Win")</f>
        <v>329</v>
      </c>
      <c r="G245" s="115">
        <f>IFERROR(OpenSingles[[#This Row],[Wins]]/OpenSingles[[#This Row],[Matches Played]],0%)</f>
        <v>0</v>
      </c>
      <c r="H245" s="102">
        <f ca="1">SUMIFS(Schedules[Team 1 Score],Schedules[Team 1 Name],B245)+SUMIFS(Schedules[Team 2 Score],Schedules[Team 2 Name],B245)</f>
        <v>9145</v>
      </c>
      <c r="I245" s="102">
        <f ca="1">SUMIFS(Schedules[Team 2 Score],Schedules[Team 1 Name],B245)+SUMIFS(Schedules[Team 1 Score],Schedules[Team 2 Name],B245)</f>
        <v>9605</v>
      </c>
      <c r="J245" s="115">
        <f ca="1">IFERROR(OPENWD[[#This Row],[Conceded Score]]/OPENWD[[#This Row],[Total Score]],0%)</f>
        <v>1.050300710770913</v>
      </c>
    </row>
    <row r="246" spans="1:10" x14ac:dyDescent="0.25">
      <c r="A246" s="102" t="str">
        <f>'Registrations'!A206</f>
        <v>Open Women's Doubles</v>
      </c>
      <c r="B246" s="108">
        <f>'Registrations'!E206</f>
        <v>0</v>
      </c>
      <c r="C246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6" s="102">
        <f ca="1">OPENWD[[#This Row],[Wins]]*3</f>
        <v>987</v>
      </c>
      <c r="E246" s="102">
        <f ca="1">COUNTIF(Schedules[Team 1 Name], B246) + COUNTIF(Schedules[Team 2 Name], B246)</f>
        <v>756</v>
      </c>
      <c r="F246" s="102">
        <f ca="1">COUNTIFS(Schedules[Team 1 Name], B246, Schedules[Team 1 Outcome], "Win") + COUNTIFS(Schedules[Team 2 Name], B246, Schedules[Team 2 Outcome], "Win")</f>
        <v>329</v>
      </c>
      <c r="G246" s="115">
        <f>IFERROR(OpenSingles[[#This Row],[Wins]]/OpenSingles[[#This Row],[Matches Played]],0%)</f>
        <v>0</v>
      </c>
      <c r="H246" s="102">
        <f ca="1">SUMIFS(Schedules[Team 1 Score],Schedules[Team 1 Name],B246)+SUMIFS(Schedules[Team 2 Score],Schedules[Team 2 Name],B246)</f>
        <v>9145</v>
      </c>
      <c r="I246" s="102">
        <f ca="1">SUMIFS(Schedules[Team 2 Score],Schedules[Team 1 Name],B246)+SUMIFS(Schedules[Team 1 Score],Schedules[Team 2 Name],B246)</f>
        <v>9605</v>
      </c>
      <c r="J246" s="115">
        <f ca="1">IFERROR(OPENWD[[#This Row],[Conceded Score]]/OPENWD[[#This Row],[Total Score]],0%)</f>
        <v>1.050300710770913</v>
      </c>
    </row>
    <row r="247" spans="1:10" x14ac:dyDescent="0.25">
      <c r="A247" s="102" t="str">
        <f>'Registrations'!A207</f>
        <v>Open Women's Doubles</v>
      </c>
      <c r="B247" s="108">
        <f>'Registrations'!E207</f>
        <v>0</v>
      </c>
      <c r="C247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7" s="102">
        <f ca="1">OPENWD[[#This Row],[Wins]]*3</f>
        <v>987</v>
      </c>
      <c r="E247" s="102">
        <f ca="1">COUNTIF(Schedules[Team 1 Name], B247) + COUNTIF(Schedules[Team 2 Name], B247)</f>
        <v>756</v>
      </c>
      <c r="F247" s="102">
        <f ca="1">COUNTIFS(Schedules[Team 1 Name], B247, Schedules[Team 1 Outcome], "Win") + COUNTIFS(Schedules[Team 2 Name], B247, Schedules[Team 2 Outcome], "Win")</f>
        <v>329</v>
      </c>
      <c r="G247" s="115">
        <f>IFERROR(OpenSingles[[#This Row],[Wins]]/OpenSingles[[#This Row],[Matches Played]],0%)</f>
        <v>0</v>
      </c>
      <c r="H247" s="102">
        <f ca="1">SUMIFS(Schedules[Team 1 Score],Schedules[Team 1 Name],B247)+SUMIFS(Schedules[Team 2 Score],Schedules[Team 2 Name],B247)</f>
        <v>9145</v>
      </c>
      <c r="I247" s="102">
        <f ca="1">SUMIFS(Schedules[Team 2 Score],Schedules[Team 1 Name],B247)+SUMIFS(Schedules[Team 1 Score],Schedules[Team 2 Name],B247)</f>
        <v>9605</v>
      </c>
      <c r="J247" s="115">
        <f ca="1">IFERROR(OPENWD[[#This Row],[Conceded Score]]/OPENWD[[#This Row],[Total Score]],0%)</f>
        <v>1.050300710770913</v>
      </c>
    </row>
    <row r="248" spans="1:10" x14ac:dyDescent="0.25">
      <c r="A248" s="102" t="str">
        <f>'Registrations'!A208</f>
        <v>Open Women's Doubles</v>
      </c>
      <c r="B248" s="108">
        <f>'Registrations'!E208</f>
        <v>0</v>
      </c>
      <c r="C248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8" s="102">
        <f ca="1">OPENWD[[#This Row],[Wins]]*3</f>
        <v>987</v>
      </c>
      <c r="E248" s="102">
        <f ca="1">COUNTIF(Schedules[Team 1 Name], B248) + COUNTIF(Schedules[Team 2 Name], B248)</f>
        <v>756</v>
      </c>
      <c r="F248" s="102">
        <f ca="1">COUNTIFS(Schedules[Team 1 Name], B248, Schedules[Team 1 Outcome], "Win") + COUNTIFS(Schedules[Team 2 Name], B248, Schedules[Team 2 Outcome], "Win")</f>
        <v>329</v>
      </c>
      <c r="G248" s="115">
        <f>IFERROR(OpenSingles[[#This Row],[Wins]]/OpenSingles[[#This Row],[Matches Played]],0%)</f>
        <v>0</v>
      </c>
      <c r="H248" s="102">
        <f ca="1">SUMIFS(Schedules[Team 1 Score],Schedules[Team 1 Name],B248)+SUMIFS(Schedules[Team 2 Score],Schedules[Team 2 Name],B248)</f>
        <v>9145</v>
      </c>
      <c r="I248" s="102">
        <f ca="1">SUMIFS(Schedules[Team 2 Score],Schedules[Team 1 Name],B248)+SUMIFS(Schedules[Team 1 Score],Schedules[Team 2 Name],B248)</f>
        <v>9605</v>
      </c>
      <c r="J248" s="115">
        <f ca="1">IFERROR(OPENWD[[#This Row],[Conceded Score]]/OPENWD[[#This Row],[Total Score]],0%)</f>
        <v>1.050300710770913</v>
      </c>
    </row>
    <row r="249" spans="1:10" x14ac:dyDescent="0.25">
      <c r="A249" s="102" t="str">
        <f>'Registrations'!A209</f>
        <v>Open Women's Doubles</v>
      </c>
      <c r="B249" s="108">
        <f>'Registrations'!E209</f>
        <v>0</v>
      </c>
      <c r="C249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49" s="102">
        <f ca="1">OPENWD[[#This Row],[Wins]]*3</f>
        <v>987</v>
      </c>
      <c r="E249" s="102">
        <f ca="1">COUNTIF(Schedules[Team 1 Name], B249) + COUNTIF(Schedules[Team 2 Name], B249)</f>
        <v>756</v>
      </c>
      <c r="F249" s="102">
        <f ca="1">COUNTIFS(Schedules[Team 1 Name], B249, Schedules[Team 1 Outcome], "Win") + COUNTIFS(Schedules[Team 2 Name], B249, Schedules[Team 2 Outcome], "Win")</f>
        <v>329</v>
      </c>
      <c r="G249" s="115">
        <f>IFERROR(OpenSingles[[#This Row],[Wins]]/OpenSingles[[#This Row],[Matches Played]],0%)</f>
        <v>0</v>
      </c>
      <c r="H249" s="102">
        <f ca="1">SUMIFS(Schedules[Team 1 Score],Schedules[Team 1 Name],B249)+SUMIFS(Schedules[Team 2 Score],Schedules[Team 2 Name],B249)</f>
        <v>9145</v>
      </c>
      <c r="I249" s="102">
        <f ca="1">SUMIFS(Schedules[Team 2 Score],Schedules[Team 1 Name],B249)+SUMIFS(Schedules[Team 1 Score],Schedules[Team 2 Name],B249)</f>
        <v>9605</v>
      </c>
      <c r="J249" s="115">
        <f ca="1">IFERROR(OPENWD[[#This Row],[Conceded Score]]/OPENWD[[#This Row],[Total Score]],0%)</f>
        <v>1.050300710770913</v>
      </c>
    </row>
    <row r="250" spans="1:10" x14ac:dyDescent="0.25">
      <c r="A250" s="102" t="str">
        <f>'Registrations'!A210</f>
        <v>Open Women's Doubles</v>
      </c>
      <c r="B250" s="108">
        <f>'Registrations'!E210</f>
        <v>0</v>
      </c>
      <c r="C250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50" s="102">
        <f ca="1">OPENWD[[#This Row],[Wins]]*3</f>
        <v>987</v>
      </c>
      <c r="E250" s="102">
        <f ca="1">COUNTIF(Schedules[Team 1 Name], B250) + COUNTIF(Schedules[Team 2 Name], B250)</f>
        <v>756</v>
      </c>
      <c r="F250" s="102">
        <f ca="1">COUNTIFS(Schedules[Team 1 Name], B250, Schedules[Team 1 Outcome], "Win") + COUNTIFS(Schedules[Team 2 Name], B250, Schedules[Team 2 Outcome], "Win")</f>
        <v>329</v>
      </c>
      <c r="G250" s="115">
        <f>IFERROR(OpenSingles[[#This Row],[Wins]]/OpenSingles[[#This Row],[Matches Played]],0%)</f>
        <v>0</v>
      </c>
      <c r="H250" s="102">
        <f ca="1">SUMIFS(Schedules[Team 1 Score],Schedules[Team 1 Name],B250)+SUMIFS(Schedules[Team 2 Score],Schedules[Team 2 Name],B250)</f>
        <v>9145</v>
      </c>
      <c r="I250" s="102">
        <f ca="1">SUMIFS(Schedules[Team 2 Score],Schedules[Team 1 Name],B250)+SUMIFS(Schedules[Team 1 Score],Schedules[Team 2 Name],B250)</f>
        <v>9605</v>
      </c>
      <c r="J250" s="115">
        <f ca="1">IFERROR(OPENWD[[#This Row],[Conceded Score]]/OPENWD[[#This Row],[Total Score]],0%)</f>
        <v>1.050300710770913</v>
      </c>
    </row>
    <row r="251" spans="1:10" x14ac:dyDescent="0.25">
      <c r="A251" s="102" t="str">
        <f>'Registrations'!A211</f>
        <v>Open Women's Doubles</v>
      </c>
      <c r="B251" s="108">
        <f>'Registrations'!E211</f>
        <v>0</v>
      </c>
      <c r="C251" s="102">
        <f ca="1">_xlfn.RANK.EQ(OPENWD[[#This Row],[Points]],OPENWD[Points],0)+COUNTIFS(OPENWD[Points],OPENWD[[#This Row],[Points]],OPENWD[Concession ratio %],"&lt;"&amp;OPENWD[[#This Row],[Concession ratio %]])+COUNTIFS(OPENWD[Points],OPENWD[[#This Row],[Points]],OPENWD[Concession ratio %],OPENWD[[#This Row],[Concession ratio %]],OPENWD[Teams],"&lt;"&amp;OPENWD[[#This Row],[Teams]])</f>
        <v>1</v>
      </c>
      <c r="D251" s="102">
        <f ca="1">OPENWD[[#This Row],[Wins]]*3</f>
        <v>987</v>
      </c>
      <c r="E251" s="102">
        <f ca="1">COUNTIF(Schedules[Team 1 Name], B251) + COUNTIF(Schedules[Team 2 Name], B251)</f>
        <v>756</v>
      </c>
      <c r="F251" s="102">
        <f ca="1">COUNTIFS(Schedules[Team 1 Name], B251, Schedules[Team 1 Outcome], "Win") + COUNTIFS(Schedules[Team 2 Name], B251, Schedules[Team 2 Outcome], "Win")</f>
        <v>329</v>
      </c>
      <c r="G251" s="115">
        <f>IFERROR(OpenSingles[[#This Row],[Wins]]/OpenSingles[[#This Row],[Matches Played]],0%)</f>
        <v>0</v>
      </c>
      <c r="H251" s="102">
        <f ca="1">SUMIFS(Schedules[Team 1 Score],Schedules[Team 1 Name],B251)+SUMIFS(Schedules[Team 2 Score],Schedules[Team 2 Name],B251)</f>
        <v>9145</v>
      </c>
      <c r="I251" s="102">
        <f ca="1">SUMIFS(Schedules[Team 2 Score],Schedules[Team 1 Name],B251)+SUMIFS(Schedules[Team 1 Score],Schedules[Team 2 Name],B251)</f>
        <v>9605</v>
      </c>
      <c r="J251" s="115">
        <f ca="1">IFERROR(OPENWD[[#This Row],[Conceded Score]]/OPENWD[[#This Row],[Total Score]],0%)</f>
        <v>1.050300710770913</v>
      </c>
    </row>
  </sheetData>
  <mergeCells count="9">
    <mergeCell ref="A171:J172"/>
    <mergeCell ref="A208:J209"/>
    <mergeCell ref="A237:J238"/>
    <mergeCell ref="A1:J2"/>
    <mergeCell ref="A30:J31"/>
    <mergeCell ref="A47:J48"/>
    <mergeCell ref="A84:J85"/>
    <mergeCell ref="A113:J114"/>
    <mergeCell ref="A142:J143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A482-082A-4713-86C2-DA69AF1ACDA7}">
  <dimension ref="A1:G122"/>
  <sheetViews>
    <sheetView showGridLines="0" workbookViewId="0">
      <selection activeCell="D1" sqref="D1"/>
    </sheetView>
  </sheetViews>
  <sheetFormatPr defaultRowHeight="12" x14ac:dyDescent="0.3"/>
  <cols>
    <col min="1" max="1" width="15.36328125" style="61" bestFit="1" customWidth="1"/>
    <col min="2" max="2" width="13.08984375" style="61" bestFit="1" customWidth="1"/>
    <col min="3" max="3" width="7.36328125" style="61" bestFit="1" customWidth="1"/>
    <col min="4" max="5" width="8.7265625" style="61"/>
    <col min="6" max="6" width="17.36328125" style="61" bestFit="1" customWidth="1"/>
    <col min="7" max="16384" width="8.7265625" style="61"/>
  </cols>
  <sheetData>
    <row r="1" spans="1:7" x14ac:dyDescent="0.3">
      <c r="A1" s="62" t="s">
        <v>113</v>
      </c>
      <c r="B1" s="63" t="s">
        <v>114</v>
      </c>
      <c r="C1" s="63" t="s">
        <v>115</v>
      </c>
      <c r="F1" s="62" t="s">
        <v>113</v>
      </c>
      <c r="G1" s="63" t="s">
        <v>115</v>
      </c>
    </row>
    <row r="2" spans="1:7" x14ac:dyDescent="0.3">
      <c r="A2" s="65" t="s">
        <v>209</v>
      </c>
      <c r="B2" s="66"/>
      <c r="C2" s="66"/>
      <c r="F2" s="65" t="s">
        <v>214</v>
      </c>
      <c r="G2" s="66"/>
    </row>
    <row r="3" spans="1:7" x14ac:dyDescent="0.3">
      <c r="A3" s="61" t="s">
        <v>116</v>
      </c>
      <c r="B3" s="64" t="s">
        <v>93</v>
      </c>
      <c r="C3" s="64" t="s">
        <v>213</v>
      </c>
      <c r="F3" s="61" t="s">
        <v>215</v>
      </c>
      <c r="G3" s="61" t="s">
        <v>213</v>
      </c>
    </row>
    <row r="4" spans="1:7" x14ac:dyDescent="0.3">
      <c r="A4" s="61" t="s">
        <v>117</v>
      </c>
      <c r="B4" s="64" t="s">
        <v>93</v>
      </c>
      <c r="C4" s="64" t="s">
        <v>213</v>
      </c>
      <c r="F4" s="61" t="s">
        <v>157</v>
      </c>
      <c r="G4" s="61" t="s">
        <v>213</v>
      </c>
    </row>
    <row r="5" spans="1:7" x14ac:dyDescent="0.3">
      <c r="A5" s="61" t="s">
        <v>118</v>
      </c>
      <c r="B5" s="64" t="s">
        <v>210</v>
      </c>
      <c r="C5" s="64" t="s">
        <v>213</v>
      </c>
      <c r="F5" s="61" t="s">
        <v>177</v>
      </c>
      <c r="G5" s="61" t="s">
        <v>213</v>
      </c>
    </row>
    <row r="6" spans="1:7" x14ac:dyDescent="0.3">
      <c r="A6" s="61" t="s">
        <v>119</v>
      </c>
      <c r="B6" s="64" t="s">
        <v>211</v>
      </c>
      <c r="C6" s="64" t="s">
        <v>213</v>
      </c>
      <c r="F6" s="61" t="s">
        <v>216</v>
      </c>
      <c r="G6" s="61" t="s">
        <v>213</v>
      </c>
    </row>
    <row r="7" spans="1:7" x14ac:dyDescent="0.3">
      <c r="A7" s="61" t="s">
        <v>120</v>
      </c>
      <c r="B7" s="64" t="s">
        <v>212</v>
      </c>
      <c r="C7" s="64" t="s">
        <v>213</v>
      </c>
      <c r="F7" s="61" t="s">
        <v>217</v>
      </c>
      <c r="G7" s="61" t="s">
        <v>213</v>
      </c>
    </row>
    <row r="8" spans="1:7" x14ac:dyDescent="0.3">
      <c r="A8" s="61" t="s">
        <v>121</v>
      </c>
      <c r="B8" s="64" t="s">
        <v>93</v>
      </c>
      <c r="C8" s="64" t="s">
        <v>213</v>
      </c>
      <c r="F8" s="61" t="s">
        <v>123</v>
      </c>
      <c r="G8" s="61" t="s">
        <v>213</v>
      </c>
    </row>
    <row r="9" spans="1:7" x14ac:dyDescent="0.3">
      <c r="A9" s="61" t="s">
        <v>122</v>
      </c>
      <c r="B9" s="64" t="s">
        <v>210</v>
      </c>
      <c r="C9" s="64" t="s">
        <v>213</v>
      </c>
      <c r="F9" s="61" t="s">
        <v>218</v>
      </c>
      <c r="G9" s="61" t="s">
        <v>213</v>
      </c>
    </row>
    <row r="10" spans="1:7" x14ac:dyDescent="0.3">
      <c r="A10" s="61" t="s">
        <v>123</v>
      </c>
      <c r="B10" s="64" t="s">
        <v>212</v>
      </c>
      <c r="C10" s="64" t="s">
        <v>213</v>
      </c>
      <c r="F10" s="61" t="s">
        <v>219</v>
      </c>
      <c r="G10" s="61" t="s">
        <v>213</v>
      </c>
    </row>
    <row r="11" spans="1:7" x14ac:dyDescent="0.3">
      <c r="A11" s="61" t="s">
        <v>124</v>
      </c>
      <c r="B11" s="64" t="s">
        <v>93</v>
      </c>
      <c r="C11" s="64" t="s">
        <v>213</v>
      </c>
      <c r="F11" s="61" t="s">
        <v>220</v>
      </c>
      <c r="G11" s="61" t="s">
        <v>213</v>
      </c>
    </row>
    <row r="12" spans="1:7" x14ac:dyDescent="0.3">
      <c r="A12" s="61" t="s">
        <v>125</v>
      </c>
      <c r="B12" s="64" t="s">
        <v>210</v>
      </c>
      <c r="C12" s="64" t="s">
        <v>213</v>
      </c>
      <c r="F12" s="61" t="s">
        <v>221</v>
      </c>
      <c r="G12" s="61" t="s">
        <v>213</v>
      </c>
    </row>
    <row r="13" spans="1:7" x14ac:dyDescent="0.3">
      <c r="A13" s="61" t="s">
        <v>126</v>
      </c>
      <c r="B13" s="64" t="s">
        <v>212</v>
      </c>
      <c r="C13" s="64" t="s">
        <v>213</v>
      </c>
      <c r="F13" s="61" t="s">
        <v>222</v>
      </c>
      <c r="G13" s="61" t="s">
        <v>213</v>
      </c>
    </row>
    <row r="14" spans="1:7" x14ac:dyDescent="0.3">
      <c r="A14" s="61" t="s">
        <v>127</v>
      </c>
      <c r="B14" s="64" t="s">
        <v>212</v>
      </c>
      <c r="C14" s="64" t="s">
        <v>213</v>
      </c>
      <c r="F14" s="61" t="s">
        <v>223</v>
      </c>
      <c r="G14" s="61" t="s">
        <v>213</v>
      </c>
    </row>
    <row r="15" spans="1:7" x14ac:dyDescent="0.3">
      <c r="A15" s="61" t="s">
        <v>128</v>
      </c>
      <c r="B15" s="64" t="s">
        <v>212</v>
      </c>
      <c r="C15" s="64" t="s">
        <v>213</v>
      </c>
    </row>
    <row r="16" spans="1:7" x14ac:dyDescent="0.3">
      <c r="A16" s="61" t="s">
        <v>129</v>
      </c>
      <c r="B16" s="64" t="s">
        <v>211</v>
      </c>
      <c r="C16" s="64" t="s">
        <v>213</v>
      </c>
    </row>
    <row r="17" spans="1:3" x14ac:dyDescent="0.3">
      <c r="A17" s="61" t="s">
        <v>130</v>
      </c>
      <c r="B17" s="64" t="s">
        <v>212</v>
      </c>
      <c r="C17" s="64" t="s">
        <v>213</v>
      </c>
    </row>
    <row r="18" spans="1:3" x14ac:dyDescent="0.3">
      <c r="A18" s="61" t="s">
        <v>131</v>
      </c>
      <c r="B18" s="64" t="s">
        <v>210</v>
      </c>
      <c r="C18" s="64" t="s">
        <v>213</v>
      </c>
    </row>
    <row r="19" spans="1:3" x14ac:dyDescent="0.3">
      <c r="A19" s="61" t="s">
        <v>132</v>
      </c>
      <c r="B19" s="64" t="s">
        <v>93</v>
      </c>
      <c r="C19" s="64" t="s">
        <v>213</v>
      </c>
    </row>
    <row r="20" spans="1:3" x14ac:dyDescent="0.3">
      <c r="A20" s="61" t="s">
        <v>133</v>
      </c>
      <c r="B20" s="64" t="s">
        <v>93</v>
      </c>
      <c r="C20" s="64" t="s">
        <v>213</v>
      </c>
    </row>
    <row r="21" spans="1:3" x14ac:dyDescent="0.3">
      <c r="A21" s="61" t="s">
        <v>134</v>
      </c>
      <c r="B21" s="64" t="s">
        <v>93</v>
      </c>
      <c r="C21" s="64" t="s">
        <v>213</v>
      </c>
    </row>
    <row r="22" spans="1:3" x14ac:dyDescent="0.3">
      <c r="A22" s="61" t="s">
        <v>135</v>
      </c>
      <c r="B22" s="64" t="s">
        <v>212</v>
      </c>
      <c r="C22" s="64" t="s">
        <v>213</v>
      </c>
    </row>
    <row r="23" spans="1:3" x14ac:dyDescent="0.3">
      <c r="A23" s="61" t="s">
        <v>136</v>
      </c>
      <c r="B23" s="64" t="s">
        <v>210</v>
      </c>
      <c r="C23" s="64" t="s">
        <v>207</v>
      </c>
    </row>
    <row r="24" spans="1:3" x14ac:dyDescent="0.3">
      <c r="A24" s="61" t="s">
        <v>137</v>
      </c>
      <c r="B24" s="64" t="s">
        <v>93</v>
      </c>
      <c r="C24" s="64" t="s">
        <v>213</v>
      </c>
    </row>
    <row r="25" spans="1:3" x14ac:dyDescent="0.3">
      <c r="A25" s="61" t="s">
        <v>138</v>
      </c>
      <c r="B25" s="64" t="s">
        <v>211</v>
      </c>
      <c r="C25" s="64" t="s">
        <v>213</v>
      </c>
    </row>
    <row r="26" spans="1:3" x14ac:dyDescent="0.3">
      <c r="A26" s="61" t="s">
        <v>139</v>
      </c>
      <c r="B26" s="64" t="s">
        <v>93</v>
      </c>
      <c r="C26" s="64" t="s">
        <v>207</v>
      </c>
    </row>
    <row r="27" spans="1:3" x14ac:dyDescent="0.3">
      <c r="A27" s="61" t="s">
        <v>140</v>
      </c>
      <c r="B27" s="64" t="s">
        <v>208</v>
      </c>
      <c r="C27" s="64" t="s">
        <v>213</v>
      </c>
    </row>
    <row r="28" spans="1:3" x14ac:dyDescent="0.3">
      <c r="A28" s="61" t="s">
        <v>141</v>
      </c>
      <c r="B28" s="64" t="s">
        <v>12</v>
      </c>
      <c r="C28" s="64" t="s">
        <v>213</v>
      </c>
    </row>
    <row r="29" spans="1:3" x14ac:dyDescent="0.3">
      <c r="A29" s="61" t="s">
        <v>142</v>
      </c>
      <c r="B29" s="64" t="s">
        <v>208</v>
      </c>
      <c r="C29" s="64" t="s">
        <v>213</v>
      </c>
    </row>
    <row r="30" spans="1:3" x14ac:dyDescent="0.3">
      <c r="A30" s="61" t="s">
        <v>143</v>
      </c>
      <c r="B30" s="64" t="s">
        <v>14</v>
      </c>
      <c r="C30" s="64" t="s">
        <v>213</v>
      </c>
    </row>
    <row r="31" spans="1:3" x14ac:dyDescent="0.3">
      <c r="A31" s="61" t="s">
        <v>144</v>
      </c>
      <c r="B31" s="64" t="s">
        <v>12</v>
      </c>
      <c r="C31" s="64" t="s">
        <v>213</v>
      </c>
    </row>
    <row r="32" spans="1:3" x14ac:dyDescent="0.3">
      <c r="A32" s="61" t="s">
        <v>145</v>
      </c>
      <c r="B32" s="64" t="s">
        <v>12</v>
      </c>
      <c r="C32" s="64" t="s">
        <v>213</v>
      </c>
    </row>
    <row r="33" spans="1:3" x14ac:dyDescent="0.3">
      <c r="A33" s="61" t="s">
        <v>146</v>
      </c>
      <c r="B33" s="64" t="s">
        <v>12</v>
      </c>
      <c r="C33" s="64" t="s">
        <v>213</v>
      </c>
    </row>
    <row r="34" spans="1:3" x14ac:dyDescent="0.3">
      <c r="A34" s="61" t="s">
        <v>147</v>
      </c>
      <c r="B34" s="64" t="s">
        <v>208</v>
      </c>
      <c r="C34" s="64" t="s">
        <v>213</v>
      </c>
    </row>
    <row r="35" spans="1:3" x14ac:dyDescent="0.3">
      <c r="A35" s="61" t="s">
        <v>148</v>
      </c>
      <c r="B35" s="64" t="s">
        <v>208</v>
      </c>
      <c r="C35" s="64" t="s">
        <v>213</v>
      </c>
    </row>
    <row r="36" spans="1:3" x14ac:dyDescent="0.3">
      <c r="A36" s="61" t="s">
        <v>149</v>
      </c>
      <c r="B36" s="64" t="s">
        <v>12</v>
      </c>
      <c r="C36" s="64" t="s">
        <v>213</v>
      </c>
    </row>
    <row r="37" spans="1:3" x14ac:dyDescent="0.3">
      <c r="A37" s="61" t="s">
        <v>150</v>
      </c>
      <c r="B37" s="64" t="s">
        <v>208</v>
      </c>
      <c r="C37" s="64" t="s">
        <v>213</v>
      </c>
    </row>
    <row r="38" spans="1:3" x14ac:dyDescent="0.3">
      <c r="A38" s="61" t="s">
        <v>151</v>
      </c>
      <c r="B38" s="64" t="s">
        <v>12</v>
      </c>
      <c r="C38" s="64" t="s">
        <v>213</v>
      </c>
    </row>
    <row r="39" spans="1:3" x14ac:dyDescent="0.3">
      <c r="A39" s="61" t="s">
        <v>152</v>
      </c>
      <c r="B39" s="64" t="s">
        <v>12</v>
      </c>
      <c r="C39" s="64" t="s">
        <v>213</v>
      </c>
    </row>
    <row r="40" spans="1:3" x14ac:dyDescent="0.3">
      <c r="A40" s="61" t="s">
        <v>153</v>
      </c>
      <c r="B40" s="64" t="s">
        <v>12</v>
      </c>
      <c r="C40" s="64" t="s">
        <v>213</v>
      </c>
    </row>
    <row r="41" spans="1:3" x14ac:dyDescent="0.3">
      <c r="A41" s="61" t="s">
        <v>154</v>
      </c>
      <c r="B41" s="64" t="s">
        <v>208</v>
      </c>
      <c r="C41" s="64" t="s">
        <v>213</v>
      </c>
    </row>
    <row r="42" spans="1:3" x14ac:dyDescent="0.3">
      <c r="A42" s="61" t="s">
        <v>155</v>
      </c>
      <c r="B42" s="64" t="s">
        <v>208</v>
      </c>
      <c r="C42" s="64" t="s">
        <v>213</v>
      </c>
    </row>
    <row r="43" spans="1:3" x14ac:dyDescent="0.3">
      <c r="A43" s="61" t="s">
        <v>156</v>
      </c>
      <c r="B43" s="64" t="s">
        <v>12</v>
      </c>
      <c r="C43" s="64" t="s">
        <v>213</v>
      </c>
    </row>
    <row r="44" spans="1:3" x14ac:dyDescent="0.3">
      <c r="A44" s="61" t="s">
        <v>157</v>
      </c>
      <c r="B44" s="64" t="s">
        <v>12</v>
      </c>
      <c r="C44" s="64" t="s">
        <v>213</v>
      </c>
    </row>
    <row r="45" spans="1:3" x14ac:dyDescent="0.3">
      <c r="A45" s="61" t="s">
        <v>158</v>
      </c>
      <c r="B45" s="64" t="s">
        <v>208</v>
      </c>
      <c r="C45" s="64" t="s">
        <v>213</v>
      </c>
    </row>
    <row r="46" spans="1:3" x14ac:dyDescent="0.3">
      <c r="A46" s="61" t="s">
        <v>159</v>
      </c>
      <c r="B46" s="64" t="s">
        <v>12</v>
      </c>
      <c r="C46" s="64" t="s">
        <v>213</v>
      </c>
    </row>
    <row r="47" spans="1:3" x14ac:dyDescent="0.3">
      <c r="A47" s="61" t="s">
        <v>160</v>
      </c>
      <c r="B47" s="64" t="s">
        <v>12</v>
      </c>
      <c r="C47" s="64" t="s">
        <v>213</v>
      </c>
    </row>
    <row r="48" spans="1:3" x14ac:dyDescent="0.3">
      <c r="A48" s="61" t="s">
        <v>161</v>
      </c>
      <c r="B48" s="64" t="s">
        <v>14</v>
      </c>
      <c r="C48" s="64" t="s">
        <v>213</v>
      </c>
    </row>
    <row r="49" spans="1:3" x14ac:dyDescent="0.3">
      <c r="A49" s="61" t="s">
        <v>162</v>
      </c>
      <c r="B49" s="64" t="s">
        <v>12</v>
      </c>
      <c r="C49" s="64" t="s">
        <v>213</v>
      </c>
    </row>
    <row r="50" spans="1:3" x14ac:dyDescent="0.3">
      <c r="A50" s="61" t="s">
        <v>163</v>
      </c>
      <c r="B50" s="64" t="s">
        <v>12</v>
      </c>
      <c r="C50" s="64" t="s">
        <v>213</v>
      </c>
    </row>
    <row r="51" spans="1:3" x14ac:dyDescent="0.3">
      <c r="A51" s="61" t="s">
        <v>164</v>
      </c>
      <c r="B51" s="64" t="s">
        <v>12</v>
      </c>
      <c r="C51" s="64" t="s">
        <v>213</v>
      </c>
    </row>
    <row r="52" spans="1:3" x14ac:dyDescent="0.3">
      <c r="A52" s="61" t="s">
        <v>165</v>
      </c>
      <c r="B52" s="64" t="s">
        <v>12</v>
      </c>
      <c r="C52" s="64" t="s">
        <v>213</v>
      </c>
    </row>
    <row r="53" spans="1:3" x14ac:dyDescent="0.3">
      <c r="A53" s="61" t="s">
        <v>166</v>
      </c>
      <c r="B53" s="64" t="s">
        <v>12</v>
      </c>
      <c r="C53" s="64" t="s">
        <v>213</v>
      </c>
    </row>
    <row r="54" spans="1:3" x14ac:dyDescent="0.3">
      <c r="A54" s="61" t="s">
        <v>167</v>
      </c>
      <c r="B54" s="64" t="s">
        <v>12</v>
      </c>
      <c r="C54" s="64" t="s">
        <v>213</v>
      </c>
    </row>
    <row r="55" spans="1:3" x14ac:dyDescent="0.3">
      <c r="A55" s="61" t="s">
        <v>168</v>
      </c>
      <c r="B55" s="64" t="s">
        <v>12</v>
      </c>
      <c r="C55" s="64" t="s">
        <v>213</v>
      </c>
    </row>
    <row r="56" spans="1:3" x14ac:dyDescent="0.3">
      <c r="A56" s="61" t="s">
        <v>169</v>
      </c>
      <c r="B56" s="64" t="s">
        <v>208</v>
      </c>
      <c r="C56" s="64" t="s">
        <v>213</v>
      </c>
    </row>
    <row r="57" spans="1:3" x14ac:dyDescent="0.3">
      <c r="A57" s="61" t="s">
        <v>170</v>
      </c>
      <c r="B57" s="64" t="s">
        <v>208</v>
      </c>
      <c r="C57" s="64" t="s">
        <v>213</v>
      </c>
    </row>
    <row r="58" spans="1:3" x14ac:dyDescent="0.3">
      <c r="A58" s="61" t="s">
        <v>171</v>
      </c>
      <c r="B58" s="64" t="s">
        <v>208</v>
      </c>
      <c r="C58" s="64" t="s">
        <v>213</v>
      </c>
    </row>
    <row r="59" spans="1:3" x14ac:dyDescent="0.3">
      <c r="A59" s="61" t="s">
        <v>172</v>
      </c>
      <c r="B59" s="64" t="s">
        <v>12</v>
      </c>
      <c r="C59" s="64" t="s">
        <v>213</v>
      </c>
    </row>
    <row r="60" spans="1:3" x14ac:dyDescent="0.3">
      <c r="A60" s="61" t="s">
        <v>173</v>
      </c>
      <c r="B60" s="64" t="s">
        <v>12</v>
      </c>
      <c r="C60" s="64" t="s">
        <v>213</v>
      </c>
    </row>
    <row r="61" spans="1:3" x14ac:dyDescent="0.3">
      <c r="A61" s="61" t="s">
        <v>174</v>
      </c>
      <c r="B61" s="64" t="s">
        <v>12</v>
      </c>
      <c r="C61" s="64" t="s">
        <v>213</v>
      </c>
    </row>
    <row r="62" spans="1:3" x14ac:dyDescent="0.3">
      <c r="A62" s="61" t="s">
        <v>175</v>
      </c>
      <c r="B62" s="64" t="s">
        <v>12</v>
      </c>
      <c r="C62" s="64" t="s">
        <v>213</v>
      </c>
    </row>
    <row r="63" spans="1:3" x14ac:dyDescent="0.3">
      <c r="A63" s="61" t="s">
        <v>176</v>
      </c>
      <c r="B63" s="64" t="s">
        <v>208</v>
      </c>
      <c r="C63" s="64" t="s">
        <v>213</v>
      </c>
    </row>
    <row r="64" spans="1:3" x14ac:dyDescent="0.3">
      <c r="A64" s="61" t="s">
        <v>177</v>
      </c>
      <c r="B64" s="64" t="s">
        <v>12</v>
      </c>
      <c r="C64" s="64" t="s">
        <v>213</v>
      </c>
    </row>
    <row r="65" spans="1:3" x14ac:dyDescent="0.3">
      <c r="A65" s="61" t="s">
        <v>178</v>
      </c>
      <c r="B65" s="64" t="s">
        <v>14</v>
      </c>
      <c r="C65" s="64" t="s">
        <v>213</v>
      </c>
    </row>
    <row r="66" spans="1:3" x14ac:dyDescent="0.3">
      <c r="A66" s="61" t="s">
        <v>179</v>
      </c>
      <c r="B66" s="64" t="s">
        <v>14</v>
      </c>
      <c r="C66" s="64" t="s">
        <v>213</v>
      </c>
    </row>
    <row r="67" spans="1:3" x14ac:dyDescent="0.3">
      <c r="A67" s="61" t="s">
        <v>180</v>
      </c>
      <c r="B67" s="64" t="s">
        <v>14</v>
      </c>
      <c r="C67" s="64" t="s">
        <v>213</v>
      </c>
    </row>
    <row r="68" spans="1:3" x14ac:dyDescent="0.3">
      <c r="A68" s="61" t="s">
        <v>181</v>
      </c>
      <c r="B68" s="64" t="s">
        <v>14</v>
      </c>
      <c r="C68" s="64" t="s">
        <v>213</v>
      </c>
    </row>
    <row r="69" spans="1:3" x14ac:dyDescent="0.3">
      <c r="A69" s="61" t="s">
        <v>182</v>
      </c>
      <c r="B69" s="64" t="s">
        <v>14</v>
      </c>
      <c r="C69" s="64" t="s">
        <v>213</v>
      </c>
    </row>
    <row r="70" spans="1:3" x14ac:dyDescent="0.3">
      <c r="A70" s="61" t="s">
        <v>183</v>
      </c>
      <c r="B70" s="64" t="s">
        <v>14</v>
      </c>
      <c r="C70" s="64" t="s">
        <v>213</v>
      </c>
    </row>
    <row r="71" spans="1:3" x14ac:dyDescent="0.3">
      <c r="A71" s="61" t="s">
        <v>184</v>
      </c>
      <c r="B71" s="64" t="s">
        <v>14</v>
      </c>
      <c r="C71" s="64" t="s">
        <v>213</v>
      </c>
    </row>
    <row r="72" spans="1:3" x14ac:dyDescent="0.3">
      <c r="A72" s="61" t="s">
        <v>185</v>
      </c>
      <c r="B72" s="64" t="s">
        <v>14</v>
      </c>
      <c r="C72" s="64" t="s">
        <v>213</v>
      </c>
    </row>
    <row r="73" spans="1:3" x14ac:dyDescent="0.3">
      <c r="A73" s="61" t="s">
        <v>186</v>
      </c>
      <c r="B73" s="64" t="s">
        <v>14</v>
      </c>
      <c r="C73" s="64" t="s">
        <v>213</v>
      </c>
    </row>
    <row r="74" spans="1:3" x14ac:dyDescent="0.3">
      <c r="A74" s="61" t="s">
        <v>187</v>
      </c>
      <c r="B74" s="64" t="s">
        <v>14</v>
      </c>
      <c r="C74" s="64" t="s">
        <v>213</v>
      </c>
    </row>
    <row r="75" spans="1:3" x14ac:dyDescent="0.3">
      <c r="A75" s="61" t="s">
        <v>188</v>
      </c>
      <c r="B75" s="64" t="s">
        <v>14</v>
      </c>
      <c r="C75" s="64" t="s">
        <v>213</v>
      </c>
    </row>
    <row r="76" spans="1:3" x14ac:dyDescent="0.3">
      <c r="A76" s="61" t="s">
        <v>189</v>
      </c>
      <c r="B76" s="64" t="s">
        <v>14</v>
      </c>
      <c r="C76" s="64" t="s">
        <v>213</v>
      </c>
    </row>
    <row r="77" spans="1:3" x14ac:dyDescent="0.3">
      <c r="A77" s="61" t="s">
        <v>190</v>
      </c>
      <c r="B77" s="64" t="s">
        <v>14</v>
      </c>
      <c r="C77" s="64" t="s">
        <v>213</v>
      </c>
    </row>
    <row r="78" spans="1:3" x14ac:dyDescent="0.3">
      <c r="A78" s="61" t="s">
        <v>191</v>
      </c>
      <c r="B78" s="64" t="s">
        <v>14</v>
      </c>
      <c r="C78" s="64" t="s">
        <v>213</v>
      </c>
    </row>
    <row r="79" spans="1:3" x14ac:dyDescent="0.3">
      <c r="A79" s="61" t="s">
        <v>192</v>
      </c>
      <c r="B79" s="64" t="s">
        <v>14</v>
      </c>
      <c r="C79" s="64" t="s">
        <v>213</v>
      </c>
    </row>
    <row r="80" spans="1:3" x14ac:dyDescent="0.3">
      <c r="A80" s="61" t="s">
        <v>193</v>
      </c>
      <c r="B80" s="64" t="s">
        <v>14</v>
      </c>
      <c r="C80" s="64" t="s">
        <v>213</v>
      </c>
    </row>
    <row r="81" spans="1:3" x14ac:dyDescent="0.3">
      <c r="A81" s="61" t="s">
        <v>194</v>
      </c>
      <c r="B81" s="64" t="s">
        <v>14</v>
      </c>
      <c r="C81" s="64" t="s">
        <v>213</v>
      </c>
    </row>
    <row r="82" spans="1:3" x14ac:dyDescent="0.3">
      <c r="A82" s="61" t="s">
        <v>195</v>
      </c>
      <c r="B82" s="64" t="s">
        <v>14</v>
      </c>
      <c r="C82" s="64" t="s">
        <v>213</v>
      </c>
    </row>
    <row r="83" spans="1:3" x14ac:dyDescent="0.3">
      <c r="A83" s="61" t="s">
        <v>196</v>
      </c>
      <c r="B83" s="64" t="s">
        <v>14</v>
      </c>
      <c r="C83" s="64" t="s">
        <v>213</v>
      </c>
    </row>
    <row r="84" spans="1:3" x14ac:dyDescent="0.3">
      <c r="A84" s="61" t="s">
        <v>197</v>
      </c>
      <c r="B84" s="64" t="s">
        <v>14</v>
      </c>
      <c r="C84" s="64" t="s">
        <v>213</v>
      </c>
    </row>
    <row r="85" spans="1:3" x14ac:dyDescent="0.3">
      <c r="A85" s="61" t="s">
        <v>198</v>
      </c>
      <c r="B85" s="64" t="s">
        <v>14</v>
      </c>
      <c r="C85" s="64" t="s">
        <v>213</v>
      </c>
    </row>
    <row r="86" spans="1:3" x14ac:dyDescent="0.3">
      <c r="A86" s="61" t="s">
        <v>199</v>
      </c>
      <c r="B86" s="64" t="s">
        <v>14</v>
      </c>
      <c r="C86" s="64" t="s">
        <v>213</v>
      </c>
    </row>
    <row r="87" spans="1:3" x14ac:dyDescent="0.3">
      <c r="A87" s="61" t="s">
        <v>200</v>
      </c>
      <c r="B87" s="64" t="s">
        <v>14</v>
      </c>
      <c r="C87" s="64" t="s">
        <v>213</v>
      </c>
    </row>
    <row r="88" spans="1:3" x14ac:dyDescent="0.3">
      <c r="A88" s="61" t="s">
        <v>201</v>
      </c>
      <c r="B88" s="64" t="s">
        <v>14</v>
      </c>
      <c r="C88" s="64" t="s">
        <v>213</v>
      </c>
    </row>
    <row r="89" spans="1:3" x14ac:dyDescent="0.3">
      <c r="A89" s="61" t="s">
        <v>202</v>
      </c>
      <c r="B89" s="64" t="s">
        <v>14</v>
      </c>
      <c r="C89" s="64" t="s">
        <v>213</v>
      </c>
    </row>
    <row r="90" spans="1:3" x14ac:dyDescent="0.3">
      <c r="A90" s="61" t="s">
        <v>203</v>
      </c>
      <c r="B90" s="64" t="s">
        <v>14</v>
      </c>
      <c r="C90" s="64" t="s">
        <v>213</v>
      </c>
    </row>
    <row r="91" spans="1:3" x14ac:dyDescent="0.3">
      <c r="A91" s="61" t="s">
        <v>204</v>
      </c>
      <c r="B91" s="64" t="s">
        <v>14</v>
      </c>
      <c r="C91" s="64" t="s">
        <v>207</v>
      </c>
    </row>
    <row r="92" spans="1:3" x14ac:dyDescent="0.3">
      <c r="A92" s="61" t="s">
        <v>205</v>
      </c>
      <c r="B92" s="64" t="s">
        <v>14</v>
      </c>
      <c r="C92" s="64" t="s">
        <v>213</v>
      </c>
    </row>
    <row r="93" spans="1:3" x14ac:dyDescent="0.3">
      <c r="A93" s="61" t="s">
        <v>206</v>
      </c>
      <c r="B93" s="64" t="s">
        <v>14</v>
      </c>
      <c r="C93" s="64" t="s">
        <v>213</v>
      </c>
    </row>
    <row r="94" spans="1:3" ht="14.5" x14ac:dyDescent="0.35">
      <c r="A94"/>
      <c r="B94" s="64"/>
      <c r="C94" s="64"/>
    </row>
    <row r="95" spans="1:3" ht="14.5" x14ac:dyDescent="0.35">
      <c r="A95"/>
      <c r="B95" s="64"/>
      <c r="C95" s="64"/>
    </row>
    <row r="96" spans="1:3" ht="14.5" x14ac:dyDescent="0.35">
      <c r="A96"/>
      <c r="B96" s="64"/>
      <c r="C96" s="64"/>
    </row>
    <row r="97" spans="1:3" ht="14.5" x14ac:dyDescent="0.35">
      <c r="A97"/>
      <c r="B97" s="64"/>
      <c r="C97" s="64"/>
    </row>
    <row r="98" spans="1:3" ht="14.5" x14ac:dyDescent="0.35">
      <c r="A98"/>
      <c r="B98" s="64"/>
      <c r="C98" s="64"/>
    </row>
    <row r="99" spans="1:3" ht="14.5" x14ac:dyDescent="0.35">
      <c r="A99"/>
      <c r="B99" s="64"/>
      <c r="C99" s="64"/>
    </row>
    <row r="100" spans="1:3" ht="14.5" x14ac:dyDescent="0.35">
      <c r="A100"/>
      <c r="B100" s="64"/>
      <c r="C100" s="64"/>
    </row>
    <row r="101" spans="1:3" ht="14.5" x14ac:dyDescent="0.35">
      <c r="A101"/>
      <c r="B101" s="64"/>
      <c r="C101" s="64"/>
    </row>
    <row r="102" spans="1:3" ht="14.5" x14ac:dyDescent="0.35">
      <c r="A102"/>
      <c r="B102" s="64"/>
      <c r="C102" s="64"/>
    </row>
    <row r="103" spans="1:3" ht="14.5" x14ac:dyDescent="0.35">
      <c r="A103"/>
      <c r="B103" s="64"/>
      <c r="C103" s="64"/>
    </row>
    <row r="104" spans="1:3" ht="14.5" x14ac:dyDescent="0.35">
      <c r="A104"/>
      <c r="B104" s="64"/>
      <c r="C104" s="64"/>
    </row>
    <row r="105" spans="1:3" ht="14.5" x14ac:dyDescent="0.35">
      <c r="A105"/>
      <c r="B105" s="64"/>
      <c r="C105" s="64"/>
    </row>
    <row r="106" spans="1:3" ht="14.5" x14ac:dyDescent="0.35">
      <c r="A106"/>
      <c r="B106" s="64"/>
      <c r="C106" s="64"/>
    </row>
    <row r="107" spans="1:3" ht="14.5" x14ac:dyDescent="0.35">
      <c r="A107"/>
      <c r="B107" s="64"/>
      <c r="C107" s="64"/>
    </row>
    <row r="108" spans="1:3" ht="14.5" x14ac:dyDescent="0.35">
      <c r="A108"/>
      <c r="B108" s="64"/>
      <c r="C108" s="64"/>
    </row>
    <row r="109" spans="1:3" ht="14.5" x14ac:dyDescent="0.35">
      <c r="A109"/>
      <c r="B109" s="64"/>
      <c r="C109" s="64"/>
    </row>
    <row r="110" spans="1:3" ht="14.5" x14ac:dyDescent="0.35">
      <c r="A110"/>
      <c r="B110" s="64"/>
      <c r="C110" s="64"/>
    </row>
    <row r="111" spans="1:3" ht="14.5" x14ac:dyDescent="0.35">
      <c r="A111"/>
      <c r="B111" s="64"/>
      <c r="C111" s="64"/>
    </row>
    <row r="112" spans="1:3" ht="14.5" x14ac:dyDescent="0.35">
      <c r="A112"/>
      <c r="B112" s="64"/>
      <c r="C112" s="64"/>
    </row>
    <row r="113" spans="1:3" ht="14.5" x14ac:dyDescent="0.35">
      <c r="A113"/>
      <c r="B113" s="64"/>
      <c r="C113" s="64"/>
    </row>
    <row r="114" spans="1:3" ht="14.5" x14ac:dyDescent="0.35">
      <c r="A114"/>
      <c r="B114" s="64"/>
      <c r="C114" s="64"/>
    </row>
    <row r="115" spans="1:3" ht="14.5" x14ac:dyDescent="0.35">
      <c r="A115"/>
      <c r="B115" s="64"/>
      <c r="C115" s="64"/>
    </row>
    <row r="116" spans="1:3" ht="14.5" x14ac:dyDescent="0.35">
      <c r="A116"/>
      <c r="B116" s="64"/>
      <c r="C116" s="64"/>
    </row>
    <row r="117" spans="1:3" ht="14.5" x14ac:dyDescent="0.35">
      <c r="A117"/>
      <c r="B117" s="64"/>
      <c r="C117" s="64"/>
    </row>
    <row r="118" spans="1:3" ht="14.5" x14ac:dyDescent="0.35">
      <c r="A118"/>
      <c r="B118" s="64"/>
      <c r="C118" s="64"/>
    </row>
    <row r="119" spans="1:3" ht="14.5" x14ac:dyDescent="0.35">
      <c r="A119"/>
      <c r="B119" s="64"/>
      <c r="C119" s="64"/>
    </row>
    <row r="120" spans="1:3" ht="14.5" x14ac:dyDescent="0.35">
      <c r="A120"/>
      <c r="B120" s="64"/>
      <c r="C120" s="64"/>
    </row>
    <row r="121" spans="1:3" ht="14.5" x14ac:dyDescent="0.35">
      <c r="A121"/>
      <c r="B121" s="64"/>
      <c r="C121" s="64"/>
    </row>
    <row r="122" spans="1:3" ht="14.5" x14ac:dyDescent="0.35">
      <c r="A122"/>
      <c r="B122" s="64"/>
      <c r="C122" s="64"/>
    </row>
  </sheetData>
  <conditionalFormatting sqref="C3:C26">
    <cfRule type="containsText" dxfId="4" priority="4" operator="containsText" text="Yes">
      <formula>NOT(ISERROR(SEARCH("Yes",C3)))</formula>
    </cfRule>
  </conditionalFormatting>
  <conditionalFormatting sqref="C3:C122">
    <cfRule type="containsText" dxfId="3" priority="2" operator="containsText" text="No">
      <formula>NOT(ISERROR(SEARCH("No",C3)))</formula>
    </cfRule>
  </conditionalFormatting>
  <conditionalFormatting sqref="C27:C122">
    <cfRule type="containsText" dxfId="2" priority="1" operator="containsText" text="Yes">
      <formula>NOT(ISERROR(SEARCH("Yes",C27)))</formula>
    </cfRule>
  </conditionalFormatting>
  <dataValidations count="1">
    <dataValidation type="list" allowBlank="1" showInputMessage="1" showErrorMessage="1" sqref="C3:C122" xr:uid="{A1DD9C6C-BA28-4676-B624-EFDE2FE59B45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Working</vt:lpstr>
      <vt:lpstr>Registrations</vt:lpstr>
      <vt:lpstr>Groups</vt:lpstr>
      <vt:lpstr>Input</vt:lpstr>
      <vt:lpstr>Schedule</vt:lpstr>
      <vt:lpstr>PnL</vt:lpstr>
      <vt:lpstr>Scorecard</vt:lpstr>
      <vt:lpstr>Player Comm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Joglekar</cp:lastModifiedBy>
  <cp:lastPrinted>2026-02-19T09:07:02Z</cp:lastPrinted>
  <dcterms:created xsi:type="dcterms:W3CDTF">2026-02-19T04:40:53Z</dcterms:created>
  <dcterms:modified xsi:type="dcterms:W3CDTF">2026-03-10T07:11:41Z</dcterms:modified>
</cp:coreProperties>
</file>